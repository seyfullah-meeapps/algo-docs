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nel" sheetId="1" state="visible" r:id="rId3"/>
    <sheet name="HFT Senaryoları" sheetId="2" state="visible" r:id="rId4"/>
    <sheet name="Regresyon" sheetId="3" state="visible" r:id="rId5"/>
    <sheet name="Parametre Eşleştirme" sheetId="4" state="visible" r:id="rId6"/>
    <sheet name="Listeler" sheetId="5" state="hidden" r:id="rId7"/>
  </sheets>
  <definedNames>
    <definedName function="false" hidden="true" localSheetId="0" name="_xlnm._FilterDatabase" vbProcedure="false">Genel!$A$19:$M$27</definedName>
    <definedName function="false" hidden="true" localSheetId="1" name="_xlnm._FilterDatabase" vbProcedure="false">'HFT Senaryoları'!$A$18:$M$75</definedName>
    <definedName function="false" hidden="true" localSheetId="3" name="_xlnm._FilterDatabase" vbProcedure="false">'Parametre Eşleştirme'!$A$5:$F$36</definedName>
    <definedName function="false" hidden="true" localSheetId="2" name="_xlnm._FilterDatabase" vbProcedure="false">Regresyon!$A$10:$M$43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<sst xmlns="http://schemas.openxmlformats.org/spreadsheetml/2006/main" count="1424" uniqueCount="937">
  <si>
    <t xml:space="preserve">MEEAPPS</t>
  </si>
  <si>
    <t xml:space="preserve">Proje Adı:</t>
  </si>
  <si>
    <t xml:space="preserve">MTrader</t>
  </si>
  <si>
    <t xml:space="preserve">Testi Hazırlayan:</t>
  </si>
  <si>
    <t xml:space="preserve">ÖZET</t>
  </si>
  <si>
    <t xml:space="preserve">Modül Adı:</t>
  </si>
  <si>
    <t xml:space="preserve">HFT (MAHft — HftClassic)</t>
  </si>
  <si>
    <t xml:space="preserve">Hazırlama Tarihi:</t>
  </si>
  <si>
    <t xml:space="preserve">Toplam</t>
  </si>
  <si>
    <t xml:space="preserve">Bölüm:</t>
  </si>
  <si>
    <t xml:space="preserve">Ön Koşul ve Ortak</t>
  </si>
  <si>
    <t xml:space="preserve">Testi Yapan:</t>
  </si>
  <si>
    <t xml:space="preserve">Başarılı</t>
  </si>
  <si>
    <t xml:space="preserve">Sürüm:</t>
  </si>
  <si>
    <t xml:space="preserve">1.1</t>
  </si>
  <si>
    <t xml:space="preserve">Test Tarihi:</t>
  </si>
  <si>
    <t xml:space="preserve">Başarısız</t>
  </si>
  <si>
    <t xml:space="preserve">Genel Ön Koşul:</t>
  </si>
  <si>
    <t xml:space="preserve">Test hesabı HFT stratejisi için yetkilendirilmiş olmalı; HFT takip ekranı açılıyor ve test hissesinin en iyi alış/satış fiyat ve lotları ekranda canlı akıyor olmalı. Test, borsanın normal işlem saatlerinde yapılmalı (açılış ve kapanış seansları dışında, emirlerin anlık eşleştiği gün içi dönem). Fiyat adımı, kademe lotları ve pozisyon gibi referans değerler test öncesinde not edilmiş olmalı (TC-HFT-G08).</t>
  </si>
  <si>
    <t xml:space="preserve">Bağımlılıklar:</t>
  </si>
  <si>
    <t xml:space="preserve">Önce Genel sayfasındaki TC-HFT-G01…G08. Ayarların ayrıntısı 'Parametre Eşleştirme', bilinen sorunlar 'Regresyon' sayfasında.</t>
  </si>
  <si>
    <t xml:space="preserve">Not:</t>
  </si>
  <si>
    <t xml:space="preserve">Sarı hücreler doldurulacak alanlardır. Sonuç, Ortam ve Öncelik sütunları açılır listedir. Not sütunundaki ⚠ satırlar mevcut kodun farklı davrandığını gösterir. Ekran etiketleri eski GUI (commit 59f1689), motor davranışı hftsrvprod development dalı üzerinden teyit edildi; test edilen sürüm farklıysa farklar Gerçekleşen Sonuç'a yazılmalı.</t>
  </si>
  <si>
    <t xml:space="preserve">TEST EDENİN BİLMESİ GEREKENLER</t>
  </si>
  <si>
    <t xml:space="preserve">Emir yolu</t>
  </si>
  <si>
    <t xml:space="preserve">HFT stratejisinin emirleri emir servisinden (MAOrderService) geçmez; HFT servisi (MAHft) emirleri doğrudan borsaya gönderir. Borsa oturumunu sabah emir servisi açar ve belirlenen saatte HFT servisine devreder (handoff). Devir gerçekleşmezse emirler yedek yol olarak emir servisi üzerinden gider: sistem çalışır görünür ama hız avantajı kaybolur ve hiçbir uyarı çıkmaz. Emir servisindeki risk kontrolleri HFT emirlerine uygulanmaz.</t>
  </si>
  <si>
    <t xml:space="preserve">Stratejinin mantığı</t>
  </si>
  <si>
    <t xml:space="preserve">Strateji en iyi alış ve en iyi satış kademelerindeki lot miktarını izler. Kademedeki lot, girilen 'Kalan Miktar' eşiğine eşit ya da altına düşünce o kademenin kaybolacağını tahmin eder ve kademe kaybolmadan o fiyattan işlem yapar. Yön terstir: alış kademesi eriyorsa (Alış Kalan Miktar) SATIŞ, satış kademesi eriyorsa (Satış Kalan Miktar) ALIŞ emri gönderilir.</t>
  </si>
  <si>
    <t xml:space="preserve">İki mod (Kovala Türü)</t>
  </si>
  <si>
    <t xml:space="preserve">Pozisyonlu Kovala (Hft_Type 1): kademelere önceden girilmiş emirler ve eldeki pozisyonla çalışır; Pasif Alış/Satış Kovala, Baz Lot, Düzeltme Modu bu moda özgüdür. Pozisyonsuz Kovala (Hft_Type 2): sıfır pozisyonla 'Girilecek Lot' kadar girer; Alarak Başla ya da Satarak Başla ile yön seçilir. Kâr al (pasif kapanış emri), stop loss ve fiyat limitleri yalnızca pozisyonsuz modda çalışır.</t>
  </si>
  <si>
    <t xml:space="preserve">Emir büyüklüğü</t>
  </si>
  <si>
    <t xml:space="preserve">Tutarı enstrüman için veritabanında tanımlı üst sınırı aşan emir parçalara bölünerek gönderilir. Tek bir emrin tutarı sert tavanı (üretimde 50.000.000 TL, müşteri bazında değişebilir) aşarsa bölünmez, reddedilir. Bu redler borsaya hiç gitmez ama ekranda borsadan gelmiş gibi görünür (kod 1001–1004). HFT servisi açılışta veritabanına bağlanamazsa limitler yüklenmez ve bölme devre dışı kalır.</t>
  </si>
  <si>
    <t xml:space="preserve">Otomatik durma yok</t>
  </si>
  <si>
    <t xml:space="preserve">HFT stratejisi kendi kendine DURMAZ: başlangıç/bitiş saati motor tarafından kullanılmıyor, borsa/PTRM redleri ve Tek İşlem stratejiyi durdurmuyor, seans dışında strateji çalışır kalıp yalnızca yeni tetik emirlerini göndermiyor. Stratejiyi durdurmak (⏸) da bekleyen emirleri iptal etmiyor. Emirleri kaldırmanın yolu Tüm Emirleri İptal Et / Emirleri İptal Et.</t>
  </si>
  <si>
    <t xml:space="preserve">Log ve saat</t>
  </si>
  <si>
    <t xml:space="preserve">HFT logu: ~/workingDirectory/container-logs/MAHft/hft.txt (1 GB'ta dönüyor: hft.1.txt … hft.30.txt). Satırlarda TARİH YOK, yalnızca Türkiye saati. Strateji satırları '&lt;uniqueKey&gt; ' önekiyle başlar; uniqueKey biçimi {enstrüman}_{hesap}_{stratejiId}_4. Metinlerin çoğu boşlukla başladığından grep'te satır başı (^) kullanma. Her emir olayında OUCH_LATENCY satırı düşer (writing_ns / network_ns / bist_ns); emrin hangi yoldan gittiği token ile iki logda aranarak anlaşılır.</t>
  </si>
  <si>
    <t xml:space="preserve">Test ID</t>
  </si>
  <si>
    <t xml:space="preserve">Sonuç</t>
  </si>
  <si>
    <t xml:space="preserve">Modül</t>
  </si>
  <si>
    <t xml:space="preserve">Test Senaryosu</t>
  </si>
  <si>
    <t xml:space="preserve">Ön Koşullar</t>
  </si>
  <si>
    <t xml:space="preserve">Test Adımları</t>
  </si>
  <si>
    <t xml:space="preserve">Beklenen Sonuç</t>
  </si>
  <si>
    <t xml:space="preserve">Gerçekleşen Sonuç</t>
  </si>
  <si>
    <t xml:space="preserve">Kanıt / Log Anahtarı</t>
  </si>
  <si>
    <t xml:space="preserve">Ortam</t>
  </si>
  <si>
    <t xml:space="preserve">Öncelik</t>
  </si>
  <si>
    <t xml:space="preserve">Not / Doğrulama</t>
  </si>
  <si>
    <t xml:space="preserve">Ekler</t>
  </si>
  <si>
    <t xml:space="preserve">TC-HFT-G01</t>
  </si>
  <si>
    <t xml:space="preserve">Test Edilmedi</t>
  </si>
  <si>
    <t xml:space="preserve">HFT / Ön Koşul</t>
  </si>
  <si>
    <t xml:space="preserve">HFT servisinin çalışır durumda olması</t>
  </si>
  <si>
    <t xml:space="preserve">HFT servisi (MAHft) iş günleri 07:45'te otomatik başlatılmış olmalı; veritabanı servisi (07:43) ve emir servisi (07:44) çalışıyor olmalı.</t>
  </si>
  <si>
    <t xml:space="preserve">1. Sunucuda çalışan servisler listesinde HFT servisinin göründüğünü kontrol et (docker ps → MAHft satırı, açılma saati)
2. Servisin açılış satırlarını kontrol et (docker logs MAHft → başlangıç banner'ı)
3. Log dosyasının güncel satırlarla büyüdüğünü kontrol et (tail -f hft.txt)
4. HFT takip ekranının açıldığını ve stratejilerin listelendiğini doğrula (ekran servise gRPC 9029 portundan bağlanıyor)</t>
  </si>
  <si>
    <t xml:space="preserve">Servis çalışıyor; açılış banner'ı basılmış; log dosyası güncel satırlarla yazılıyor; HFT ekranı açılıyor ve stratejileri listeliyor.</t>
  </si>
  <si>
    <t xml:space="preserve">docker ps + docker logs MAHft (banner) + hft.txt son satırlar</t>
  </si>
  <si>
    <t xml:space="preserve">Prod</t>
  </si>
  <si>
    <t xml:space="preserve">Yüksek</t>
  </si>
  <si>
    <t xml:space="preserve">⚠ HFT servisi açılırken iki noktada süresiz bekleyebilir: lisans sunucusuna yaptığı istek (zaman aşımı yok) ve gün içi defter görüntüsünün (Glimpse) tamamlanması. İkisinde de container 'Up' görünür ama servis hazır olmaz ve ekran bağlanamaz (TC-HFT-R25, R26). Servis gün içinde çökerse kendiliğinden yeniden başlamaz (TC-HFT-R24).
Yazılım ekibi için: licenseUrl HTTP çağrısı fail-fast ama timeout'suz; Glimpse tamamlanma beklemesi busy-wait; restart policy yok.</t>
  </si>
  <si>
    <t xml:space="preserve">TC-HFT-G02</t>
  </si>
  <si>
    <t xml:space="preserve">Piyasa verisinin yüklenmesi ve fiyat/lotların ekranda akması</t>
  </si>
  <si>
    <t xml:space="preserve">TC-HFT-G01 başarılı; saat 09:40 sonrası.</t>
  </si>
  <si>
    <t xml:space="preserve">1. Borsa veri akışının sunucuya geldiğini kontrol et (tcpdump -i &lt;nic&gt; -n udp port 21001, birkaç saniye)
2. HFT takip tablosunda test hissesinin en iyi alış/satış fiyatlarının ve kademe lotlarının güncellendiğini izle
3. Aynı anda başka bir kaynakla (aracı kurum terminali) karşılaştır</t>
  </si>
  <si>
    <t xml:space="preserve">Veri paketleri geliyor; ekrandaki en iyi alış/satış fiyatları ve kademe lotları piyasa ile aynı ve gecikmesiz güncelleniyor.</t>
  </si>
  <si>
    <t xml:space="preserve">tcpdump çıktısı + ekran görüntüsü karşılaştırması</t>
  </si>
  <si>
    <t xml:space="preserve">Strateji kararını kademedeki lota göre verdiği için lot değişimlerinin de doğru aktığı kontrol edilmeli. Üretimdeki HFT servisinde yalnızca pay piyasası açık, VİOP kapalı; HFT stratejisi vadeli kontratlarda test edilmemeli.
Yazılım ekibi için: Future partition'ları on=false; port→receiver eşlemesi yanlışsa SDK hata vermeden paket görmez.</t>
  </si>
  <si>
    <t xml:space="preserve">TC-HFT-G03</t>
  </si>
  <si>
    <t xml:space="preserve">Veritabanı bağlantısı ve enstrüman emir limitlerinin yüklenmesi</t>
  </si>
  <si>
    <t xml:space="preserve">TC-HFT-G01 başarılı.</t>
  </si>
  <si>
    <t xml:space="preserve">1. hft.txt'nin açılış kısmında veritabanı giriş hatası ara: 'Credentials are invalid. Error code:' ve kırmızı DB satırı
2. HFT ekranında stratejilerin kayıtlı ayarlarıyla geldiğini kontrol et
3. Test hissesinin emir tutarı limitinin yüklendiğini yazılım ekibiyle teyit et (TC-HFT-G08'de not edilen değer)</t>
  </si>
  <si>
    <t xml:space="preserve">Veritabanı hata satırı yok; stratejiler kayıtlı ayarlarıyla yüklü; enstrüman emir limitleri yüklü.</t>
  </si>
  <si>
    <t xml:space="preserve">hft.txt: 'Credentials are invalid. Error code:' (çıkmamalı) + ayar ekranı</t>
  </si>
  <si>
    <t xml:space="preserve">⚠ HFT servisi veritabanına bağlanamazsa kapanmaz; ayarlar ve enstrüman limitleri boş kalır, büyük emirler bölünmeden gider (TC-HFT-R20). Yalnızca giriş hatası loglanıyor; strateji ayarlarını okuma/yazma hataları sessiz (boş liste dönüyor), bu yüzden 2. adım ayrıca önemli.
Yazılım ekibi için: DatabaseServiceClient.cpp:67, 165-167, 186-188.</t>
  </si>
  <si>
    <t xml:space="preserve">TC-HFT-G04</t>
  </si>
  <si>
    <t xml:space="preserve">Borsa oturumunun emir servisinden HFT servisine devri (handoff)</t>
  </si>
  <si>
    <t xml:space="preserve">TC-HFT-G01 başarılı; emir servisindeki devir saati geçmiş.</t>
  </si>
  <si>
    <t xml:space="preserve">1. Veritabanında Ouchs tablosunda ilgili OUCH kullanıcısı için isActive = 1 olduğunu kontrol et (yazılım ekibiyle)
2. Emir servisi logunda o kullanıcı için borsa girişini ve devir satırını ara (order_service.N.txt)
3. hft.txt'de 'orderUserDisconnected: handoff for OUCH user &lt;kullanıcı&gt;' satırını ara
4. HFT servisinin borsa bağlantısının açık olduğunu kontrol et (ss -tnp | grep &lt;hft_pid&gt; → ESTABLISHED)</t>
  </si>
  <si>
    <t xml:space="preserve">Dört koşulun hepsi sağlanır: kullanıcı aktif, emir servisi devretmiş, HFT devri almış ve borsa bağlantısı açık.</t>
  </si>
  <si>
    <t xml:space="preserve">Ouchs.isActive + order_service logu + hft.txt 'orderUserDisconnected: handoff' satırı + ss -tnp çıktısı</t>
  </si>
  <si>
    <t xml:space="preserve">⚠ Bu kontrol yapılmadan hiçbir emir senaryosuna geçilmemeli. Yanlış alarm uyarısı: açılış logundaki '0 active OUCH user(s) loaded from #SpotOuchConfiguration' satırı NORMALDİR. Ekrandaki 'OUCH Users: 0 connected' da devir sonrasını göstermez. Devir olmazsa emirler yedek yoldan gider, uyarı çıkmaz (TC-HFT-R19).
Yazılım ekibi için: connectUser(OuchUser) 4 deneme 1/2/3/4 sn backoff (2026-08-03 LoginTimeout sonrası).</t>
  </si>
  <si>
    <t xml:space="preserve">TC-HFT-G05</t>
  </si>
  <si>
    <t xml:space="preserve">Açılışta açık emir durumunun yüklenmesi (replay kapısı)</t>
  </si>
  <si>
    <t xml:space="preserve">TC-HFT-G04 başarılı; stratejiler henüz başlatılmamış.</t>
  </si>
  <si>
    <t xml:space="preserve">1. hft.txt'de 'ALL OUCH user replays complete; strategies may go live' satırını ara ve saatini kaydet
2. 'replay gate TIMEOUT after' ve 'opening gate (zero-handoff)' satırlarını ara
3. İkinci adımda satır bulunursa stratejileri başlatmadan yazılım ekibine bildir</t>
  </si>
  <si>
    <t xml:space="preserve">'ALL OUCH user replays complete' satırı var; 'replay gate TIMEOUT' ve 'opening gate (zero-handoff)' satırları yok.</t>
  </si>
  <si>
    <t xml:space="preserve">hft.txt: 'ALL OUCH user replays complete; strategies may go live' / 'replay gate TIMEOUT after' / 'opening gate (zero-handoff)'</t>
  </si>
  <si>
    <t xml:space="preserve">⚠ Açılışta strateji önce borsadan o günkü açık emirlerini öğrenir; bu bitene kadar piyasa olaylarını işlemez. 60 sn'de bitmezse ya da devir 20 sn'de gelmezse kapı zorla açılır ve strateji gerçek durumu bilmeden işlem yapabilir. Tek iz bu satırlar, alarm yok (TC-HFT-R18).
Yazılım ekibi için: StrategyManager.cpp:68, 107, 119; HftClassic.cpp:567.</t>
  </si>
  <si>
    <t xml:space="preserve">TC-HFT-G06</t>
  </si>
  <si>
    <t xml:space="preserve">Test emri ve gecikme satırlarının akması</t>
  </si>
  <si>
    <t xml:space="preserve">TC-HFT-G04 ve G05 başarılı.</t>
  </si>
  <si>
    <t xml:space="preserve">1. Ekibin sabah pratiğine göre reddedilmesi beklenen bir test emri gönder (HFT emir defteri ekranından)
2. Emir Geçmişi'nde red kodunu ve sebebini kaydet
3. hft.txt'de bu emrin OUCH_LATENCY satırını token ile ara
4. Aynı token'ı emir servisi logunda ara (order_service.*.txt)</t>
  </si>
  <si>
    <t xml:space="preserve">Emir borsaya ulaşır ve beklenen borsa/PTRM red kodu döner; hft.txt'de OUCH_LATENCY satırı düşer; emir servisi logunda bu token yoktur.</t>
  </si>
  <si>
    <t xml:space="preserve">Emir Geçmişi red sebebi + OUCH_LATENCY satırı + emir servisi logunda token araması</t>
  </si>
  <si>
    <t xml:space="preserve">Red kodu 1001–1004 aralığındaysa emir borsaya hiç gitmemiş, HFT servisinin içinde durdurulmuştur; uçtan uca doğrulama sayılmaz. Borsa/PTRM kodları: -850004 pretrade ihlali, -850002 kullanıcı bloke, -850044 teminat limiti, -420131 izin verilen limit dışı. Token emir servisi logunda görünüyorsa emir yedek yoldan gitmiştir → G04'e dön.</t>
  </si>
  <si>
    <t xml:space="preserve">TC-HFT-G07</t>
  </si>
  <si>
    <t xml:space="preserve">Hesabın HFT stratejisini kullanma yetkisi</t>
  </si>
  <si>
    <t xml:space="preserve">HFT için yetkilendirilmiş bir test hesabı ve yetkisi olmayan ikinci bir hesap hazır.</t>
  </si>
  <si>
    <t xml:space="preserve">1. Yetkili hesapla giriş yap; Strateji Seçimi ekranında HFT kartının açık olduğunu kontrol et
2. HFT takip ekranını aç ve bir stratejiyi başlat
3. Aynı akışı yetkisiz hesapla tekrarla</t>
  </si>
  <si>
    <t xml:space="preserve">Yetkili hesapta HFT ekranı açılır ve strateji komutları çalışır. Yetkisiz hesapta HFT kartı kapalıdır ya da strateji başlatılamaz ve ekranda nedenini söyleyen açık bir uyarı çıkar.</t>
  </si>
  <si>
    <t xml:space="preserve">Strateji Seçimi ekranı + ekrandaki uyarı + hft.txt 'StrategyLogin - Login failed for user:'</t>
  </si>
  <si>
    <t xml:space="preserve">Customer/Prod</t>
  </si>
  <si>
    <t xml:space="preserve">Orta</t>
  </si>
  <si>
    <t xml:space="preserve">Sistemde HFT stratejisinin tip numarası 4'tür (Tavan 9, Arbitraj 6). HFT servisi emri yalnızca devredilen borsa oturumunun yetkili olduğu hesaplar için doğrudan gönderir; diğer hesaplar yedek yola düşer (TC-HFT-C05).</t>
  </si>
  <si>
    <t xml:space="preserve">TC-HFT-G08</t>
  </si>
  <si>
    <t xml:space="preserve">Test öncesi referans değerlerin kaydedilmesi</t>
  </si>
  <si>
    <t xml:space="preserve">Test hissesi seçilmiş: kademe değişimleri sık olan, fiyat adımına göre kademelerinde yeterli lot bulunan bir hisse.</t>
  </si>
  <si>
    <t xml:space="preserve">1. Hissenin fiyat adımını, tavan ve taban fiyatını kaydet
2. En iyi alış ve en iyi satış kademelerinde normalde duran lot miktarını birkaç dakika izleyip kaydet
3. Test hesabının bu hissedeki mevcut pozisyonunu kaydet
4. Enstrümanın emir tutarı limitini yazılım ekibinden öğrenip kaydet
5. Hissenin brüt takas listesinde olmadığını kontrol et</t>
  </si>
  <si>
    <t xml:space="preserve">Değerler kayıt altında; Kalan Miktar eşikleri, Maks. Alış / Min. Satış fiyatları ve beklenen emir fiyatları bu değerlerden hesaplanabiliyor.</t>
  </si>
  <si>
    <t xml:space="preserve">Test notu</t>
  </si>
  <si>
    <t xml:space="preserve">Test</t>
  </si>
  <si>
    <t xml:space="preserve">Kalan Miktar eşiği hissenin kademe lotuna göre seçilmezse strateji ya hiç tetiklenmez ya da sürekli tetiklenir. Maks. Alış Fiyatı boş (0) bırakılırsa pozisyonsuz modda alış hiç gönderilmez (TC-HFT-R11); bu yüzden referans fiyatlar gerekli.</t>
  </si>
  <si>
    <t xml:space="preserve">Test Senaryoları</t>
  </si>
  <si>
    <t xml:space="preserve">Beklenen Sonuç her zaman doğru davranışı anlatır; Not sütununda ⚠ ile işaretli satırlarda mevcut kodun farklı davrandığı biliniyor, sonuç 'Başarısız' çıkabilir. Sonuç, Ortam ve Öncelik sütunları açılır listedir. Test ID harfi bölümü gösterir: A pozisyonsuz mod, B pozisyonlu mod ve diğer ayarlar, C emir büyüklüğü ve korumalar, D hesap, E yaşam döngüsü, F ekran.</t>
  </si>
  <si>
    <t xml:space="preserve">Referans ayarlar (RA)</t>
  </si>
  <si>
    <t xml:space="preserve">Kovala Türü: Pozisyonsuz Kovala · Alarak Başla: Açık · Satarak Başla: Kapalı · Girilecek Lot: 1 · Alış Kalan Miktar ve Satış Kalan Miktar: TC-HFT-G08'deki tipik kademe lotunun yaklaşık beşte biri · Maks. Alış Fiyatı: güncel fiyatın 5 kademe üstü (0 bırakma) · Min. Satış Fiyatı: güncel fiyatın 5 kademe altı · Satış Tipi: Pasif, Satış Pasif Kademe: 2 · Stop Loss: açık, 3 · Saniye Kuralı: 5 · Emir Tipi: Kalanı Pasife Yaz · Emri Bekle: Kapalı · Tek İşlem Yap: Kapalı · Short/Sell: Sell · Max Alış/Satış Takip: Kapalı · Başlangıç 10:00 · Bitiş 17:50. 'RA' bu set, 'RA + X' yalnızca X'in değiştiğini gösterir.</t>
  </si>
  <si>
    <t xml:space="preserve">Pozisyonsuz akış</t>
  </si>
  <si>
    <t xml:space="preserve">Alarak Başla: satış kademesindeki lot Satış Kalan Miktar'a inince Girilecek Lot kadar ALIŞ gider (fiyat Maks. Alış Fiyatı'nı aşmamalı). Alış tamamen dolunca giriş fiyatının N kademe üstüne pasif kâr al satışı konur. Alış kademesi eriyince (Alış Kalan Miktar) pozisyon alış kademesinden satılır, kâr al iptal edilir. Stop loss: alış kademesi giriş fiyatının N kademe altına inip lotu eşiğe düşünce kâr al emri o fiyata taşınır. Satarak Başla bunun tersidir ama kâr al emri yoktur.</t>
  </si>
  <si>
    <t xml:space="preserve">Saniye Kuralı</t>
  </si>
  <si>
    <t xml:space="preserve">Stratejinin kabul edilen her emrinden N saniye sonra, emir hâlâ karşı kademede duruyorsa (tahmin tutmamışsa) ters yönde, o tarafın kendi en iyi fiyatından pasif bir emir yazılır (günlük, müşteri kodu 'B'). Alarak Başla'da kâr al emri varken alış tarafı için saniye kuralı devre dışıdır.</t>
  </si>
  <si>
    <t xml:space="preserve">Nereye bakılır</t>
  </si>
  <si>
    <t xml:space="preserve">HFT takip tablosu: ▶/⏸, pozisyon ve kâr kolonları; satır sağ tık → Pozisyon Ekle / Sil; başlıkta toplu ▶/⏸ ve toplu ⚙. Emir defteri kaplaması: ⚙ ayarlar, ▶ başlat/durdur, + Pozisyon Ekle, ⊘ Emirleri İptal Et. Üst çubuk 🚫 Tüm Emirleri İptal Et (hesap bazlı, 'Aktiften Kapat' seçeneğiyle). Pasif Emirler ve Emir Geçmişi panelleri. HFT'de 'Pozisyonu Kapat' menüsü yoktur.</t>
  </si>
  <si>
    <t xml:space="preserve">Log</t>
  </si>
  <si>
    <t xml:space="preserve">hft.txt, '&lt;uniqueKey&gt; ' önekiyle strateji satırları. Sık aranacaklar: tetik 'meltEnoughWithFast', gönderim 'SENDING askInfoOrder: side=' (alış) / 'SENDING bidInfoOrder: side=' (satış), kâr al 'executeOrder sending passive sell info order after full execution.', stop loss 'checkStopLoss replacing order', saniye kuralı 'addSecondRuleOrder scheduled' ve 'sendSecondRuleOrder', seans 'not in continuous session.', red 'rejectOrder called, order rejected with code:', başlat 'HftClassic comand setted, isRunning: 1' (yazım hatası koddaki gibi).</t>
  </si>
  <si>
    <t xml:space="preserve">TC-HFT-A01</t>
  </si>
  <si>
    <t xml:space="preserve">HFT / Pozisyonsuz Mod</t>
  </si>
  <si>
    <t xml:space="preserve">Tetik koşulu oluşmadan emir gönderilmemesi</t>
  </si>
  <si>
    <t xml:space="preserve">RA. Strateji duruyor, pozisyon 0. En iyi alış ve satış kademelerindeki lotlar Kalan Miktar eşiklerinin üstünde.</t>
  </si>
  <si>
    <t xml:space="preserve">1. Stratejiyi ▶ ile başlat; logda 'HftClassic comand setted, isRunning: 1' satırını kontrol et
2. Kademe lotları eşiklerin üstündeyken Emir Geçmişi'ni ve Pasif Emirler'i birkaç dakika izle
3. hft.txt'yi stratejinin uniqueKey'iyle filtrele</t>
  </si>
  <si>
    <t xml:space="preserve">Hiç emir gönderilmez; tahtada stratejiye ait bekleyen emir yoktur. Strateji çalışır görünür (⏸).</t>
  </si>
  <si>
    <t xml:space="preserve">hft.txt 'HftClassic comand setted, isRunning: 1' + Emir Geçmişi (boş)</t>
  </si>
  <si>
    <t xml:space="preserve">Pozisyonsuz modda strateji tetik olmadan tahtaya emir koymaz.</t>
  </si>
  <si>
    <t xml:space="preserve">TC-HFT-A02</t>
  </si>
  <si>
    <t xml:space="preserve">Alarak Başla: satış kademesi eriyince giriş alışı</t>
  </si>
  <si>
    <t xml:space="preserve">TC-HFT-A01 sonrası; strateji çalışıyor, pozisyon 0.</t>
  </si>
  <si>
    <t xml:space="preserve">1. En iyi satış kademesindeki lotun Satış Kalan Miktar'a eşit ya da altına düştüğü anı bekle
2. Gönderilen emrin yönünü, miktarını, fiyatını ve emir tipini kaydet
3. Emrin gönderildiği andaki en iyi satış fiyatını kaydet
4. OUCH_LATENCY satırını token ile bul</t>
  </si>
  <si>
    <t xml:space="preserve">Girilecek Lot (1) kadar ALIŞ emri, eriyen en iyi satış fiyatından gönderilir ve (kademe hâlâ duruyorsa) gerçekleşir. Pozisyon +1 olur. Eşik tam sınırdayken de (lot = eşik) tetiklenir.</t>
  </si>
  <si>
    <t xml:space="preserve">hft.txt: 'meltEnoughWithFast … true, currentQty:', 'isNoPositionBuyMode true', 'SENDING askInfoOrder: side=' + Emir Geçmişi</t>
  </si>
  <si>
    <t xml:space="preserve">Alış yalnızca en iyi satış fiyatı Maks. Alış Fiyatı'nı aşmıyorsa gider; alan 0 ise hiç gitmez (TC-HFT-A10, R11). Emir fiyatının eriyen kademenin fiyatı olduğu özellikle kontrol edilmeli (TC-HFT-R31).
Yazılım ekibi için: HftClassic.cpp:920-987, 1198-1209.</t>
  </si>
  <si>
    <t xml:space="preserve">TC-HFT-A03</t>
  </si>
  <si>
    <t xml:space="preserve">Alarak Başla: alış dolunca pasif kâr al emrinin konması</t>
  </si>
  <si>
    <t xml:space="preserve">TC-HFT-A02 sonrası; giriş alışı tamamen gerçekleşmiş.</t>
  </si>
  <si>
    <t xml:space="preserve">1. Pasif Emirler panelinde satış emrini bul
2. Fiyatını giriş fiyatı + 2 × fiyat adımı ile karşılaştır
3. Miktarını ve emir tipini kaydet
4. Emrin gerçekleşmesini izle; sonrası pozisyonu kaydet</t>
  </si>
  <si>
    <t xml:space="preserve">Giriş dolunca giriş fiyatının 2 kademe üstüne (Satış Pasif Kademe) Girilecek Lot kadar pasif satış konur. Gerçekleşince pozisyon 0 olur ve kalan satış emirleri iptal edilir.</t>
  </si>
  <si>
    <t xml:space="preserve">hft.txt: 'executeOrder sending passive sell info order after full execution.', 'sendPassiveSellInfoOrder proceeding to send passive sell order.', 'updatePosition startWithBuy true and balance 0, cancelled all sell orders'</t>
  </si>
  <si>
    <t xml:space="preserve">⚠ Ekran bu kademe değerini 'Satış Pasif Kademe' (Sell_Passive_Level) alanıyla gönderiyor; motor kâr al fiyatını Buy_Passive_Level ile hesaplıyor ve satış tarafı değerini kullanmıyor. Alarak Başla'da Alış Tipi alanı kapalı olduğu için kâr al emri hiç konmayabilir ya da yanlış mesafeye konabilir (TC-HFT-R02). Gözlenen fiyat mutlaka kaydedilmeli.
Yazılım ekibi için: HftClassic.cpp:2052-2058, 1633-1672; OBS:521-568.</t>
  </si>
  <si>
    <t xml:space="preserve">TC-HFT-A04</t>
  </si>
  <si>
    <t xml:space="preserve">Alarak Başla: alış kademesi eriyince pozisyondan çıkış</t>
  </si>
  <si>
    <t xml:space="preserve">Pozisyon +1; tahtada kâr al satışı var.</t>
  </si>
  <si>
    <t xml:space="preserve">1. En iyi alış kademesindeki lotun Alış Kalan Miktar'a indiği anı bekle
2. Gönderilen satış emrinin fiyatını ve miktarını kaydet
3. Kâr al emrinin durumunu (iptal) kaydet
4. Pozisyonu kaydet</t>
  </si>
  <si>
    <t xml:space="preserve">Pozisyon eriyen en iyi alış fiyatından satılır; tahtadaki kâr al ve diğer emirler iptal edilir; pozisyon 0 olur.</t>
  </si>
  <si>
    <t xml:space="preserve">hft.txt: 'SENDING bidInfoOrder: side=', 'cancelAllOrders start - size=' + Emir Geçmişi</t>
  </si>
  <si>
    <t xml:space="preserve">Bu çıkış seans kontrolüne tabidir; yalnızca sürekli müzayedede tetiklenir.
Yazılım ekibi için: HftClassic.cpp:1430-1438.</t>
  </si>
  <si>
    <t xml:space="preserve">TC-HFT-A05</t>
  </si>
  <si>
    <t xml:space="preserve">Alarak Başla: stop loss</t>
  </si>
  <si>
    <t xml:space="preserve">RA (Stop Loss 3). Pozisyon +1; kâr al satışı tahtada.</t>
  </si>
  <si>
    <t xml:space="preserve">1. Giriş fiyatını kaydet
2. En iyi alış fiyatı giriş fiyatının 3 kademe altına indiğinde o kademedeki lotu kaydet
3. Kâr al emrinin fiyatının değişip değişmediğini ve pozisyonun kapanıp kapanmadığını kaydet
4. Fiyat 3 kademe altta ama kademe lotu Alış Kalan Miktar'ın üstündeyken davranışı ayrıca kaydet</t>
  </si>
  <si>
    <t xml:space="preserve">En iyi alış 3 kademe aşağıdayken VE o kademedeki lot Alış Kalan Miktar'a indiğinde kâr al emri en iyi alış fiyatına taşınarak pozisyon kapatılır. Yalnızca fiyat düşüp lot eşik üstündeyken işlem yapılmaz.</t>
  </si>
  <si>
    <t xml:space="preserve">hft.txt: 'checkStopLoss replacing order, current price:' / 'checkStopLoss sending new stop loss order, price:' / 'checkStopLoss early return'</t>
  </si>
  <si>
    <t xml:space="preserve">⚠ Stop loss yalnızca pozisyonsuz modda ve kâr al kademesi (motorda Buy_Passive_Level) 0'dan farklıyken kuruluyor; A03'teki alan uyumsuzluğu yüzünden hiç kurulmayabilir (TC-HFT-R02). Stop loss yeni emir göndermiyor, mevcut kâr al emrini taşıyor; seans kontrolü yapmıyor (TC-HFT-R08).
Yazılım ekibi için: HftClassic.cpp:1212-1348, 1148-1157.</t>
  </si>
  <si>
    <t xml:space="preserve">TC-HFT-A06</t>
  </si>
  <si>
    <t xml:space="preserve">Saniye Kuralı: tahmin tutmadığında ters yönde pasif emir</t>
  </si>
  <si>
    <t xml:space="preserve">RA + Satarak Başla: Açık, Alarak Başla: Kapalı (Alarak Başla'da kâr al varken alış tarafında saniye kuralı kapalı). Saniye Kuralı 5.</t>
  </si>
  <si>
    <t xml:space="preserve">1. Bir giriş satışının kabul saatini kaydet
2. 5 sn boyunca emrin karşı kademede (fiyat değişmeden) durduğu bir durumu yakala
3. 5 sn sonunda gönderilen emrin yönünü, fiyatını, emir tipini kaydet
4. Kademe 5 sn dolmadan değiştiğinde emir gidip gitmediğini ayrıca kaydet</t>
  </si>
  <si>
    <t xml:space="preserve">Süre dolduğunda emir hâlâ karşı kademedeyse ters yönde (alış), alış tarafının kendi en iyi fiyatından günlük pasif emir yazılır; müşteri kodu 'B'. Kademe değişmişse emir gönderilmez.</t>
  </si>
  <si>
    <t xml:space="preserve">hft.txt: 'addSecondRuleOrder scheduled second rule order job with duration:', 'sendSecondRuleOrder proceeding to send second rule order' / 'sendSecondRuleOrder early return, order not at header price'</t>
  </si>
  <si>
    <t xml:space="preserve">Alarak Başla'da kâr al kademesi 0'dan farklıysa alış için saniye kuralı bilinçli olarak devre dışı ('sendSecondRuleOrder disabled second rule order for buy side when isNoPositionBuyMode is true'); orada çıkış kâr al ve stop loss'a kalır. Saniye kuralı emri strateji durdurulmuş ya da seans dışında olsa da gönderilir (TC-HFT-R07, R08).
Yazılım ekibi için: HftClassic.cpp:1674-1773, 2131-2153.</t>
  </si>
  <si>
    <t xml:space="preserve">TC-HFT-A07</t>
  </si>
  <si>
    <t xml:space="preserve">Satarak Başla: alış kademesi eriyince giriş satışı ve çıkış</t>
  </si>
  <si>
    <t xml:space="preserve">RA + Alarak Başla: Kapalı, Satarak Başla: Açık. Pozisyon 0. İki deneme: Short/Sell düğmesi Short ve Sell.</t>
  </si>
  <si>
    <t xml:space="preserve">1. En iyi alış kademesindeki lot Alış Kalan Miktar'a indiğinde gönderilen emri kaydet (yön, miktar, açığa satış işareti)
2. Satış kademesi erimesiyle gelen çıkış alışını kaydet
3. Tahtada kâr al emri olup olmadığını kontrol et</t>
  </si>
  <si>
    <t xml:space="preserve">Girilecek Lot kadar satış gönderilir; Short seçiliyse açığa satış, Sell seçiliyse normal satış olarak gider. Çıkış yalnızca satış kademesi eriyince alışla yapılır; kâr al emri konmaz.</t>
  </si>
  <si>
    <t xml:space="preserve">hft.txt: 'isNoPositionSellMode true', 'SENDING bidInfoOrder: side=' + Emir Geçmişi A/S</t>
  </si>
  <si>
    <t xml:space="preserve">Pozisyon 0 ve Satarak Başla kapalıyken satış yapılmaz ('balance &lt;=0 and buyFakeOrderQuantity &lt;=0, setting tempQuantity to 0'). ⚠ Pozisyon eldeyken satış tetiklenirse bakiye + Girilecek Lot satılıyor ve pozisyon açığa dönüyor; gözlenirse kaydedilmeli.
Yazılım ekibi için: HftClassic.cpp:1125-1160, 76-79.</t>
  </si>
  <si>
    <t xml:space="preserve">TC-HFT-A08</t>
  </si>
  <si>
    <t xml:space="preserve">Kısmi gerçekleşme</t>
  </si>
  <si>
    <t xml:space="preserve">RA + Girilecek Lot: 5 (test ortamında).</t>
  </si>
  <si>
    <t xml:space="preserve">1. 5 lotluk giriş alışının kısmen (örneğin 2 lot) gerçekleştiği bir anı yakala
2. Pozisyonu, kalan emri ve Pasif Emirler'i kaydet
3. Kâr al satışının konup konmadığını ve miktarını kaydet</t>
  </si>
  <si>
    <t xml:space="preserve">Pozisyon gerçekleşen kadar (2) değişir; gerçekleşen miktar için kâr al satışı konur; kalan emir Emir Tipi'ne göre tahtada kalır ya da iptal olur.</t>
  </si>
  <si>
    <t xml:space="preserve">Emir Geçmişi 'Gerçekleşen' + Pasif Emirler</t>
  </si>
  <si>
    <t xml:space="preserve">⚠ Kodda kâr al emri yalnızca giriş TAMAMEN dolunca gönderiliyor; kısmi dolumda pozisyon kâr al emri olmadan kalabilir (TC-HFT-R13).</t>
  </si>
  <si>
    <t xml:space="preserve">TC-HFT-A09</t>
  </si>
  <si>
    <t xml:space="preserve">Yalnızca sürekli müzayedede işlem yapılması</t>
  </si>
  <si>
    <t xml:space="preserve">RA. Saat 09:40–10:00 (açılış seansı).</t>
  </si>
  <si>
    <t xml:space="preserve">1. Stratejiyi 10:00'dan önce başlat
2. Tetik koşulu oluşsa bile emir gönderilip gönderilmediğini izle
3. 10:00'dan sonra kendiliğinden işlem yapmaya başladığını izle
4. 18:00'de açık pozisyon ve kâr al emri varken stratejinin ve emirlerin durumunu kaydet</t>
  </si>
  <si>
    <t xml:space="preserve">Sürekli müzayede dışında hiçbir strateji emri (giriş, stop loss, saniye kuralı, kâr al) gönderilmez. 10:00'da işlem kendiliğinden başlar.</t>
  </si>
  <si>
    <t xml:space="preserve">hft.txt: 'sendOrderWithFast early return, not in continuous session.' + Emir Geçmişi</t>
  </si>
  <si>
    <t xml:space="preserve">⚠ Strateji seans dışında çalışır kalıyor ve yalnızca yeni tetik emirlerini engelliyor; stop loss, saniye kuralı ve kâr al emirleri seans kontrolü yapmıyor (TC-HFT-R08). Bekleyen emirler ve açık pozisyon seans sonunda olduğu gibi kalır.</t>
  </si>
  <si>
    <t xml:space="preserve">TC-HFT-A10</t>
  </si>
  <si>
    <t xml:space="preserve">Maks. Alış Fiyatı ve Min. Satış Fiyatı sınırları</t>
  </si>
  <si>
    <t xml:space="preserve">RA. Üç deneme: Maks. Alış Fiyatı güncel en iyi satışın 1 kademe altı; Maks. Alış Fiyatı 0 (boş); Satarak Başla'da Min. Satış Fiyatı en iyi alışın 1 kademe üstü.</t>
  </si>
  <si>
    <t xml:space="preserve">1. Her denemede ayarı kaydet ve tetik oluşmasını bekle
2. Emir gidip gitmediğini kaydet
3. Sınırları genişletip tekrarla</t>
  </si>
  <si>
    <t xml:space="preserve">Sınır dışındaki fiyattan emir gönderilmez, 0 lotluk emir de gitmez; sınırlar genişletilince emir normal gider. Boş bırakılan sınır 'sınırsız' anlamına gelir ve bu ekranda belirtilir.</t>
  </si>
  <si>
    <t xml:space="preserve">hft.txt: 'inBetweenPriceLimits BUY false, getBuyUpperLimit():', 'not inBetweenPriceLimits BUY, setting askInfoOrder quantity to 0'</t>
  </si>
  <si>
    <t xml:space="preserve">⚠ Maks. Alış Fiyatı 0 (varsayılan) iken motor alışı hiçbir zaman göndermiyor; Min. Satış 0 ise satış her zaman geçiyor (TC-HFT-R11). Sınırlar yalnızca pozisyonsuz modda, saniye kuralında ve Max Takip'te uygulanıyor. Ekran fiyatı sabit ×1000 gönderiyor (TC-HFT-R17).</t>
  </si>
  <si>
    <t xml:space="preserve">TC-HFT-A11</t>
  </si>
  <si>
    <t xml:space="preserve">Başlangıç ve bitiş saatine uyulması</t>
  </si>
  <si>
    <t xml:space="preserve">RA + Başlangıç 14:00, Bitiş 14:30. Test ortamı.</t>
  </si>
  <si>
    <t xml:space="preserve">1. Stratejiyi 13:00 civarında başlat
2. 14:00'ten önce tetik oluştuğunda emir gidip gitmediğini kaydet
3. 14:30'dan sonra stratejinin durumunu ve yeni emir gidip gitmediğini kaydet</t>
  </si>
  <si>
    <t xml:space="preserve">14:00'ten önce ve 14:30'dan sonra hiç emir gönderilmez.</t>
  </si>
  <si>
    <t xml:space="preserve">Emir Geçmişi (emir saatleri) + ▶/⏸ ikonu</t>
  </si>
  <si>
    <t xml:space="preserve">⚠ Motor Başlangıç/Bitiş Saati'ni hiç kullanmıyor; yalnızca saklayıp geri gönderiyor. Sonucun 'Başarısız' çıkması bekleniyor (TC-HFT-R05). Kullanıcılar bu alanlara güveniyorsa bilgilendirilmeli.</t>
  </si>
  <si>
    <t xml:space="preserve">TC-HFT-A12</t>
  </si>
  <si>
    <t xml:space="preserve">Emirlerin doğrudan borsaya gitmesi (yedek yolun kullanılmaması)</t>
  </si>
  <si>
    <t xml:space="preserve">TC-HFT-G04 başarılı; RA.</t>
  </si>
  <si>
    <t xml:space="preserve">1. Bir giriş emrinin gerçekleşmesini bekle
2. Token'ı Emir Geçmişi'nden al
3. grep &lt;token&gt; hft*.txt
4. grep &lt;token&gt; order_service.*.txt</t>
  </si>
  <si>
    <t xml:space="preserve">Token HFT logunun OUCH_LATENCY satırlarında vardır, emir servisi logunda yoktur; writing_ns ve network_ns mikrosaniye mertebesindedir.</t>
  </si>
  <si>
    <t xml:space="preserve">İki logda token araması</t>
  </si>
  <si>
    <t xml:space="preserve">Token emir servisi logunda görünüyorsa emir yedek yoldan gitmiştir (TC-HFT-C05, R19).</t>
  </si>
  <si>
    <t xml:space="preserve">TC-HFT-A13</t>
  </si>
  <si>
    <t xml:space="preserve">Tek İşlem Yap</t>
  </si>
  <si>
    <t xml:space="preserve">RA + Tek İşlem Yap: Açık. İki deneme: Alarak Başla ve Satarak Başla.</t>
  </si>
  <si>
    <t xml:space="preserve">1. Stratejiyi başlat
2. İlk giriş ve çıkışı izle
3. Sonraki tetiklerde yeni giriş gidip gitmediğini ve ikonu kaydet</t>
  </si>
  <si>
    <t xml:space="preserve">Bir işlem döngüsünden sonra yeni giriş gönderilmez ve strateji durur (ya da ekranda tamamlandığı görünür).</t>
  </si>
  <si>
    <t xml:space="preserve">hft.txt: 'addOrder singleOperationAccepted set to true', 'isOperationDisAllowed true, setting askInfoOrder quantity to 0' + ▶/⏸</t>
  </si>
  <si>
    <t xml:space="preserve">⚠ Tek İşlem stratejiyi durdurmuyor, yalnızca yeni giriş miktarını 0'a çekiyor; herhangi bir ayar kaydında kilit sıfırlanıyor. Satarak Başla'da kilit hiç devreye girmiyor (TC-HFT-R10).</t>
  </si>
  <si>
    <t xml:space="preserve">TC-HFT-A14</t>
  </si>
  <si>
    <t xml:space="preserve">Emir Tipi (Kalanı Pasife Yaz / Kalanı İptal Et / Hepsini İptal Et)</t>
  </si>
  <si>
    <t xml:space="preserve">RA. Üç deneme, her Emir Tipi seçeneği için.</t>
  </si>
  <si>
    <t xml:space="preserve">1. Emir Tipi'ni seç ve kaydet
2. Bir giriş emrinin kısmen ya da hiç dolmadığı durumu yakala; kalan miktarın ne olduğunu kaydet
3. Giriş dolduktan sonra kâr al emrinin tahtada kalıp kalmadığını kaydet</t>
  </si>
  <si>
    <t xml:space="preserve">Kalanı Pasife Yaz: dolmayan kısım tahtada kalır. Kalanı İptal Et: dolmayan kısım iptal olur. Hepsini İptal Et: tamamı dolmazsa emir iptal olur. Kâr al emri her seçenekte tahtada bekler.</t>
  </si>
  <si>
    <t xml:space="preserve">Emir Geçmişi (geçerlilik, iptal kayıtları) + Pasif Emirler</t>
  </si>
  <si>
    <t xml:space="preserve">⚠ Emir Tipi kâr al emrine de uygulanıyor; 'Kalanı İptal Et' ya da 'Hepsini İptal Et' seçilirse kâr al emri tahtaya yazılır yazılmaz düşer (TC-HFT-R12). Saniye kuralı ve kapanış emirleri her zaman günlük gider.</t>
  </si>
  <si>
    <t xml:space="preserve">TC-HFT-B01</t>
  </si>
  <si>
    <t xml:space="preserve">HFT / Pozisyonlu Mod ve Diğer Ayarlar</t>
  </si>
  <si>
    <t xml:space="preserve">Pozisyonlu Kovala: mevcut emirler ve pozisyonla başlama</t>
  </si>
  <si>
    <t xml:space="preserve">Test ortamı. Hesapta test hissesinde 5 lot pozisyon; kademelere stratejinin kimliğiyle pasif emirler girilmiş. Kovala Türü: Pozisyonlu Kovala; Baz Lot Alış/Satış: 1'den büyük.</t>
  </si>
  <si>
    <t xml:space="preserve">1. Pozisyonu gerekirse Pozisyon Ekle ile stratejiye tanıt
2. Stratejiyi başlat
3. Takip tablosunda pozisyonun ve emirlerin stratejiye ait göründüğünü kontrol et
4. Alış kademesi eridiğinde gönderilen satışın miktarını pozisyon ve kendi emirleriyle karşılaştır</t>
  </si>
  <si>
    <t xml:space="preserve">Strateji önceden girilmiş emirleri ve pozisyonu tanır; alış kademesi eriyince eldeki lotla satış, satış kademesi eriyince alış yapar ve gün boyu dönmeye devam eder.</t>
  </si>
  <si>
    <t xml:space="preserve">Takip tablosu + Pasif Emirler + hft.txt 'SENDING bidInfoOrder' / 'SENDING askInfoOrder'</t>
  </si>
  <si>
    <t xml:space="preserve">Pozisyonlu modda miktar yalnızca stratejinin kendi emirleri ve bakiyesinden hesaplanır; pozisyon ve emir yokken giriş yapılmaz. Ekran bu modda Baz Lot'u zorunlu tutuyor (en az 1).</t>
  </si>
  <si>
    <t xml:space="preserve">TC-HFT-B02</t>
  </si>
  <si>
    <t xml:space="preserve">Pasif Alış / Pasif Satış Kovala</t>
  </si>
  <si>
    <t xml:space="preserve">TC-HFT-B01 ayarları; alış tarafında en iyi kademenin bir altında da stratejinin emri var. İki deneme: Pasif Alış Kovala kapalı / açık (satış için de tekrarla).</t>
  </si>
  <si>
    <t xml:space="preserve">1. Tetik anında en iyi kademe ve bir sonraki kademedeki kendi emirlerini kaydet
2. Gönderilen karşı emrin miktarını kaydet
3. Aynı durumu kovala açıkken tekrarla</t>
  </si>
  <si>
    <t xml:space="preserve">Kovala açıkken alt/üst kademedeki kendi emirleri de miktara eklenir; kapalıyken yalnızca en iyi kademe hesaba katılır.</t>
  </si>
  <si>
    <t xml:space="preserve">Emir Geçmişi + Pasif Emirler (ekran görüntüsü)</t>
  </si>
  <si>
    <t xml:space="preserve">Kovala daha büyük emir üretir; test en küçük enstrüman limitiyle yapılmalı. Ekran bu alanları pozisyonsuz modda gizliyor ve false gönderiyor.</t>
  </si>
  <si>
    <t xml:space="preserve">TC-HFT-B03</t>
  </si>
  <si>
    <t xml:space="preserve">Emri Bekle</t>
  </si>
  <si>
    <t xml:space="preserve">TC-HFT-B01 ayarları. İki deneme: Emri Bekle açık ve kapalı.</t>
  </si>
  <si>
    <t xml:space="preserve">1. Açıkken, en iyi kademede kendi emri varken tetik anında davranışı kaydet
2. Kapalıyken tekrarla ve saniye kuralı emirlerini izle</t>
  </si>
  <si>
    <t xml:space="preserve">Açıkken strateji kademede kendi emri varken bekler; kapalıyken saniye kuralına göre hareket eder.</t>
  </si>
  <si>
    <t xml:space="preserve">Emir Geçmişi (emir zamanları) + hft.txt</t>
  </si>
  <si>
    <t xml:space="preserve">Yazılım ekibi için: Wait_For_Header, HftClassic.cpp:1181-1195.</t>
  </si>
  <si>
    <t xml:space="preserve">TC-HFT-B04</t>
  </si>
  <si>
    <t xml:space="preserve">Baz Lot: en iyi kademe dışındaki emirlerin sınırlanması</t>
  </si>
  <si>
    <t xml:space="preserve">TC-HFT-B01; en iyi kademe dışındaki bir alış kademesinde 20 lotluk strateji emri; en iyi alış kademesinde de strateji emri var.</t>
  </si>
  <si>
    <t xml:space="preserve">1. Baz Lot Alış'ı 10 yap ve kaydet
2. 20 lotluk emrin değişimini izle
3. En iyi kademedeki emrin değişip değişmediğini kontrol et</t>
  </si>
  <si>
    <t xml:space="preserve">En iyi kademe dışındaki emir değiştirilerek 10 lota indirilir; en iyi kademedeki emirlere dokunulmaz.</t>
  </si>
  <si>
    <t xml:space="preserve">Pasif Emirler + Emir Geçmişi (değiştirildi kayıtları)</t>
  </si>
  <si>
    <t xml:space="preserve">Onay kutusu (Is_Lot_Qty_*_Enabled) motor tarafından okunmuyor; ekran pozisyonsuz modda kutu kapalıyken değeri 0 göndererek telafi ediyor. Değiştirme emri kuyruk önceliğini sıfırlar.</t>
  </si>
  <si>
    <t xml:space="preserve">TC-HFT-B05</t>
  </si>
  <si>
    <t xml:space="preserve">Düzeltme Modu: yeni satış yerine en kötü satışın taşınması</t>
  </si>
  <si>
    <t xml:space="preserve">TC-HFT-B01; birden fazla pasif satış kademesinde strateji emri; Düzeltme Modu: Açık.</t>
  </si>
  <si>
    <t xml:space="preserve">1. Düzeltme Modu açılınca Short/Sell düğmesinin Sell'e geçtiğini kontrol et
2. Tetikte satış gerektiğinde yeni emir mi gönderildiğini, mevcut satışın mı değiştirildiğini kaydet
3. Hangi fiyattaki emrin taşındığını ve toplam pasif satış lotunu önce/sonra kaydet
4. Alış tarafında aynı durumu gözle</t>
  </si>
  <si>
    <t xml:space="preserve">Yeni satış gönderilmez; en kötü (en yüksek fiyatlı, kuyrukta en arkadaki) pasif satış hedef fiyata taşınır, toplam pasif satış lotu artmaz. Alış tarafında uygulanmaz.</t>
  </si>
  <si>
    <t xml:space="preserve">Pasif Emirler + Emir Geçmişi</t>
  </si>
  <si>
    <t xml:space="preserve">Taşınan miktar emrin tamamından azsa borsa değiştirmeyi bölmediği için fazla lot düşer (bilinçli). Yalnızca Pozisyonlu Kovala'da çalışır; ekran pozisyonsuzda false gönderiyor.</t>
  </si>
  <si>
    <t xml:space="preserve">TC-HFT-B06</t>
  </si>
  <si>
    <t xml:space="preserve">Max Alış / Max Satış Takip</t>
  </si>
  <si>
    <t xml:space="preserve">TC-HFT-B01 ayarları + Max Satış Takip açık, Max Satış % 50 (alış için de tekrarla).</t>
  </si>
  <si>
    <t xml:space="preserve">1. Önce yazılım ekibinden 'azami emir büyüklüğü' ve yüzde hesabının tarifini al
2. Kademeye bu büyüklükte agresif bir emir geldiği anı yakala
3. Stratejinin tetiklenip tetiklenmediğini ve emir miktarını kaydet</t>
  </si>
  <si>
    <t xml:space="preserve">Azami emir büyüklüğünün girilen yüzdesi kadar agresif işlem kademeyi erime saydırır ve strateji tetiklenir; kademe lotu yoksa Baz Lot kadar emir gider.</t>
  </si>
  <si>
    <t xml:space="preserve">Emir Geçmişi + hft.txt</t>
  </si>
  <si>
    <t xml:space="preserve">Takip kapalıyken ekran yüzdeyi 0 gönderiyor. Fiyat sınırları bu yolda da uygulanıyor.</t>
  </si>
  <si>
    <t xml:space="preserve">TC-HFT-B07</t>
  </si>
  <si>
    <t xml:space="preserve">Alış / Satış Tipi Aktif-Pasif (pozisyonlu modda)</t>
  </si>
  <si>
    <t xml:space="preserve">TC-HFT-B01 ayarları. İki deneme: Aktif ve Pasif.</t>
  </si>
  <si>
    <t xml:space="preserve">1. Kademe fiyatı kötüleştiğinde stratejinin emir davranışını her iki seçenekle kaydet</t>
  </si>
  <si>
    <t xml:space="preserve">Seçenekler arasında yazılım ekibinin tarif ettiği fark gözlenir.</t>
  </si>
  <si>
    <t xml:space="preserve">Emir Geçmişi + hft.txt 'updateOrderDepthWithItch in position mode, checking header price changes.'</t>
  </si>
  <si>
    <t xml:space="preserve">Az</t>
  </si>
  <si>
    <t xml:space="preserve">Kod incelemesine göre pozisyonlu modda iki seçenek arasındaki tek fark aktifte header değişiminde stop loss kontrolünün atlanması; pratikte neredeyse etkisiz. Ekranda bu alanlar pozisyonsuz sütununda duruyor ve kâr al kademesini açıp kapatıyor (A03).</t>
  </si>
  <si>
    <t xml:space="preserve">TC-HFT-B08</t>
  </si>
  <si>
    <t xml:space="preserve">Saniye Kuralı değerleri</t>
  </si>
  <si>
    <t xml:space="preserve">TC-HFT-A06 ayarları. Denemeler: 0 girmeyi dene, 1, 5, 60.</t>
  </si>
  <si>
    <t xml:space="preserve">1. 0 girip kaydetmeyi dene; ekranın ne kaydettiğini kontrol et
2. Her değerde saniye kuralı emrinin kabulden kaç saniye sonra gittiğini kaydet</t>
  </si>
  <si>
    <t xml:space="preserve">Değer kadar beklenir; 0 girilemez ya da en az 1 olarak kaydedilir ve bu ekranda görünür.</t>
  </si>
  <si>
    <t xml:space="preserve">Ayar ekranı + hft.txt 'addSecondRuleOrder scheduled second rule order job with duration:'</t>
  </si>
  <si>
    <t xml:space="preserve">Ekran ve motor 0'ı 1'e çeviriyor; saniye kuralını kapatmanın yolu yok.</t>
  </si>
  <si>
    <t xml:space="preserve">TC-HFT-B09</t>
  </si>
  <si>
    <t xml:space="preserve">Açığa satışta yem emri (uptick kuralı)</t>
  </si>
  <si>
    <t xml:space="preserve">Satarak Başla ya da pozisyonlu modda açığa satış gerektiren bir durum; Short/Sell: Short. Test ortamı.</t>
  </si>
  <si>
    <t xml:space="preserve">1. Açığa satış gerektiren anı yakala
2. Asıl emirden hemen önce 1 lotluk emir gidip gitmediğini kaydet
3. Emirlerin sırasını, fiyatını ve borsa cevabını kaydet</t>
  </si>
  <si>
    <t xml:space="preserve">Açığa satış emri uptick kuralı gerekçesiyle reddedilmez; gerekiyorsa önce 1 lotluk yem emri gider.</t>
  </si>
  <si>
    <t xml:space="preserve">Emir Geçmişi (sıra, A/S, red sebebi)</t>
  </si>
  <si>
    <t xml:space="preserve">BIST'te açığa satış yalnızca son işlem fiyatından yüksek fiyata yapılabilir. Yem emri gerçek bir işlemdir.</t>
  </si>
  <si>
    <t xml:space="preserve">TC-HFT-B10</t>
  </si>
  <si>
    <t xml:space="preserve">Strateji çalışırken ayar değiştirilmesi</t>
  </si>
  <si>
    <t xml:space="preserve">RA; strateji çalışıyor.</t>
  </si>
  <si>
    <t xml:space="preserve">1. Alış Kalan Miktar'ı değiştir ve kaydet; yeni değerle tetiklendiğini izle
2. Stop Loss'u değiştir ve kaydet
3. Kovala Türü'nü değiştirmeyi dene
4. Her kayıtta fiyat/lot akışının kesilip kesilmediğini izle</t>
  </si>
  <si>
    <t xml:space="preserve">Ayarlar kaydedildiği anda geçerli olur ve strateji durmadan yeni değerle çalışır. Kovala Türü değişikliği ya engellenir ya da açık pozisyonu bozmadan uygulanır.</t>
  </si>
  <si>
    <t xml:space="preserve">hft.txt 'HftClassic comand setted, isRunning: 1' + Emir Geçmişi</t>
  </si>
  <si>
    <t xml:space="preserve">Her ayar kaydı Tek İşlem kilidini sıfırlar (A13). Kovala Türü değişiminde ekran bazı alanları kendiliğinden değiştiriyor (TC-HFT-R15).</t>
  </si>
  <si>
    <t xml:space="preserve">TC-HFT-B11</t>
  </si>
  <si>
    <t xml:space="preserve">Boş, sıfır ve geçersiz değerler</t>
  </si>
  <si>
    <t xml:space="preserve">RA. Her alan için ayrı deneme, test ortamında.</t>
  </si>
  <si>
    <t xml:space="preserve">1. Bir sayı alanını silip kaydet; tekrar açınca ne göründüğünü kaydet
2. Başlangıç Saati'ni boş bırakıp kaydet
3. Stop Loss kutusunu kapatıp kaydet; logdaki gelen değeri kontrol et
4. Girilecek Lot 0, Kalan Miktar 0 dene
5. Pencerede Enter'a basmanın kaydettiğini kontrol et</t>
  </si>
  <si>
    <t xml:space="preserve">Geçersiz girişler ekranda uyarıyla engellenir; 'kapalı' anlamına gelen değerler ekranda açıkça belirtilir; kapatılan stop loss motorda da kapalıdır.</t>
  </si>
  <si>
    <t xml:space="preserve">Ayar ekranı + hft.txt komut satırları + Emir Geçmişi</t>
  </si>
  <si>
    <t xml:space="preserve">⚠ Kaydetmeden önce doğrulama yok. Boş bırakılan sayı alanı açılıştaki değere döner (0'a değil); boş saat 0 saniye gider. Stop Loss kapalıyken ekran 0 gönderiyor, motor ise yalnızca −1'i kapalı sayıyor: kapalı stop loss giriş fiyatında stop demek (TC-HFT-R03).</t>
  </si>
  <si>
    <t xml:space="preserve">TC-HFT-C01</t>
  </si>
  <si>
    <t xml:space="preserve">HFT / Emir Büyüklüğü ve Korumalar</t>
  </si>
  <si>
    <t xml:space="preserve">Enstrüman limitini aşan emrin parçalara bölünmesi</t>
  </si>
  <si>
    <t xml:space="preserve">Test ortamı. Test hissesinin emir tutarı limiti yazılım ekibiyle düşük bir değere (örneğin 10.000 TL) çekilmiş; bu limiti aşacak Girilecek Lot.</t>
  </si>
  <si>
    <t xml:space="preserve">1. Limiti aşacak bir giriş emrinin gönderilmesini sağla
2. Emrin kaç parça gittiğini ve parça miktarlarını kaydet
3. Parça miktarını hesapla: limit ÷ fiyat (aşağı yuvarlanmış); kalan ayrı parça
4. Toplamı istenen miktarla karşılaştır</t>
  </si>
  <si>
    <t xml:space="preserve">Emir limit ÷ fiyat lotluk eşit parçalara ve bir kalan parçaya bölünür; toplam miktar istenen miktara eşittir.</t>
  </si>
  <si>
    <t xml:space="preserve">Bölme bir bütün değil: bir parça reddedilirse diğerleri yine gider (TC-HFT-R29). Kontrol HFT servisi içindeki emir kütüphanesinde yapılır.</t>
  </si>
  <si>
    <t xml:space="preserve">TC-HFT-C02</t>
  </si>
  <si>
    <t xml:space="preserve">Sert tavanı aşan emrin reddedilmesi (1003)</t>
  </si>
  <si>
    <t xml:space="preserve">Test ortamında sert tavan config'te düşük bir değere çekilmiş (yazılım ekibi).</t>
  </si>
  <si>
    <t xml:space="preserve">1. Tavanı aşan bir emir oluşmasını sağla
2. Red kodunu ve sebebini kaydet
3. Stratejinin sonraki tetiklerde aynı emri tekrar gönderip göndermediğini kaydet</t>
  </si>
  <si>
    <t xml:space="preserve">Emir borsaya gitmeden 1003 koduyla reddedilir; pozisyon değişmez; strateji aynı emri döngü halinde tekrar göndermez.</t>
  </si>
  <si>
    <t xml:space="preserve">Emir Geçmişi (1003) + hft.txt 'rejectOrder called, order rejected with code:'</t>
  </si>
  <si>
    <t xml:space="preserve">⚠ Strateji redde durmuyor; bir sonraki tetik aynı emri tekrar gönderir (TC-HFT-R09). Tavan değeri müşterinin HFT-Configuration.toml'unda (sdkOrderHardCapTry).</t>
  </si>
  <si>
    <t xml:space="preserve">TC-HFT-C03</t>
  </si>
  <si>
    <t xml:space="preserve">Yazılım içi redler: 1001, 1002, 1004</t>
  </si>
  <si>
    <t xml:space="preserve">Test ortamı; yazılım ekibiyle hazırlanmış üç enstrüman: limit tablosunda olmayan, brüt takas listesinde olan ve tek lotu limitin üstünde olan.</t>
  </si>
  <si>
    <t xml:space="preserve">1. Her enstrüman için strateji kur ve giriş emri oluşmasını sağla
2. Red kodlarını ve ekranda gösterilen sebebi kaydet</t>
  </si>
  <si>
    <t xml:space="preserve">Emirler borsaya gitmeden sırasıyla 1001, 1002, 1004 koduyla reddedilir; kullanıcıya anlaşılır sebep gösterilir.</t>
  </si>
  <si>
    <t xml:space="preserve">Emir Geçmişi red kodları</t>
  </si>
  <si>
    <t xml:space="preserve">Bu redler borsadan gelmiş gibi görünür. Fiyat veya miktarın 0 olması da yerel red üretir.</t>
  </si>
  <si>
    <t xml:space="preserve">TC-HFT-C04</t>
  </si>
  <si>
    <t xml:space="preserve">Borsa / PTRM reddinde stratejinin tepkisi</t>
  </si>
  <si>
    <t xml:space="preserve">Test ortamında yazılım ekibi desteğiyle hesaba düşük bir risk limiti tanımlanmış.</t>
  </si>
  <si>
    <t xml:space="preserve">1. Stratejinin limiti aşan bir emir göndermesini sağla
2. Red kodunu ve sebebini kaydet
3. Sonraki birkaç dakikada aynı reddin kaç kez tekrarlandığını ve ikonu kaydet</t>
  </si>
  <si>
    <t xml:space="preserve">Red sebebiyle görünür; strateji aynı reddi döngü halinde tekrar etmez (durur ya da bekler) ve kullanıcı bilgilendirilir.</t>
  </si>
  <si>
    <t xml:space="preserve">Emir Geçmişi (red sayısı) + hft.txt 'rejectOrder called, order rejected with code:', 'SENT false a çekildi'</t>
  </si>
  <si>
    <t xml:space="preserve">⚠ HFT stratejisinde redde durma mantığı yok (Taban stratejisinde var); her tetik aynı emri tekrar gönderir. Yazılımda hız sınırı da olmadığı için red döngüsü frenlenmez (TC-HFT-R09, R21).</t>
  </si>
  <si>
    <t xml:space="preserve">TC-HFT-C05</t>
  </si>
  <si>
    <t xml:space="preserve">Devredilmeyen hesapta emrin yedek yoldan gitmesi</t>
  </si>
  <si>
    <t xml:space="preserve">Test ortamı; devredilen borsa oturumunun hesap listesinde olmayan bir hesapla kurulmuş HFT stratejisi.</t>
  </si>
  <si>
    <t xml:space="preserve">1. Stratejiyi başlat ve bir giriş emrinin gönderilmesini bekle
2. Token'ı hft.txt'de ve emir servisi logunda ara
3. OUCH_LATENCY değerlerini TC-HFT-A12 ile karşılaştır</t>
  </si>
  <si>
    <t xml:space="preserve">Emir emir servisi üzerinden gider ve borsaya ulaşır; bu hesabın yavaş yoldan çalıştığı kullanıcıya ya da ekibe bildirilir.</t>
  </si>
  <si>
    <t xml:space="preserve">İki logda token araması + gecikme karşılaştırması</t>
  </si>
  <si>
    <t xml:space="preserve">⚠ Kodda uyarı yok (TC-HFT-R19).
Yazılım ekibi için: maosdk-&gt;ownsAccount(account) false → 127.0.0.1:8008 fallback.</t>
  </si>
  <si>
    <t xml:space="preserve">TC-HFT-C06</t>
  </si>
  <si>
    <t xml:space="preserve">Aynı hissede birden fazla HFT stratejisi</t>
  </si>
  <si>
    <t xml:space="preserve">Test ortamı; aynı hesap ve hisse için farklı strateji kimliğiyle iki HFT stratejisi.</t>
  </si>
  <si>
    <t xml:space="preserve">1. İki stratejiyi de başlat
2. Tetik anında ikisinin de emir gönderip göndermediğini kaydet
3. Pozisyonların ayrı tutulup tutulmadığını ve hesap toplamını kontrol et</t>
  </si>
  <si>
    <t xml:space="preserve">Her strateji kendi emirlerini ve pozisyonunu ayrı tutar; birinin gerçekleşmesi diğerinin pozisyonunu değiştirmez.</t>
  </si>
  <si>
    <t xml:space="preserve">Takip tablosu (iki satır) + Emir Geçmişi</t>
  </si>
  <si>
    <t xml:space="preserve">Stratejiler arası toplam pozisyon limiti yok (TC-HFT-R22).</t>
  </si>
  <si>
    <t xml:space="preserve">TC-HFT-D01</t>
  </si>
  <si>
    <t xml:space="preserve">HFT / Hesap Doğrulama</t>
  </si>
  <si>
    <t xml:space="preserve">Satış miktarının eldeki pozisyonu aşmaması</t>
  </si>
  <si>
    <t xml:space="preserve">TC-HFT-B01 ayarları; pozisyon 5 lot. Test ortamı.</t>
  </si>
  <si>
    <t xml:space="preserve">1. Tetikte gönderilen satışların miktarını anlık pozisyonla karşılaştır
2. Özellikle kademenin tam eridiği anları izle
3. Pozisyonun eksiye düşüp düşmediğini kaydet</t>
  </si>
  <si>
    <t xml:space="preserve">Açığa satış istenmedikçe satış miktarı eldeki pozisyonu geçmez; pozisyon eksiye düşmez.</t>
  </si>
  <si>
    <t xml:space="preserve">Emir Geçmişi + takip tablosu pozisyon</t>
  </si>
  <si>
    <t xml:space="preserve">⚠ 2026-06-11'de canlıda elde 5 lot varken 10 lot satış gitti (TC-HFT-R01).</t>
  </si>
  <si>
    <t xml:space="preserve">TC-HFT-D02</t>
  </si>
  <si>
    <t xml:space="preserve">Pozisyon ve kâr hesabının doğrulanması</t>
  </si>
  <si>
    <t xml:space="preserve">Gün içinde en az birkaç alış-satış yapmış bir strateji.</t>
  </si>
  <si>
    <t xml:space="preserve">1. Emir Geçmişi'nden stratejinin tüm gerçekleşmelerini çıkar
2. Pozisyonu elle topla
3. Kârı ilk giren ilk çıkar (FIFO) eşleştirmesiyle hesapla
4. Ekrandaki pozisyon ve kârla karşılaştır</t>
  </si>
  <si>
    <t xml:space="preserve">Ekrandaki pozisyon ve kâr elle hesaplanan değerlerle aynıdır (komisyon hariç).</t>
  </si>
  <si>
    <t xml:space="preserve">Emir Geçmişi dışa aktarımı + takip tablosu</t>
  </si>
  <si>
    <t xml:space="preserve">Pozisyon Ekle ile girilen pozisyonlar ve kısmi gerçekleşmeler hesaba doğru girmeli.</t>
  </si>
  <si>
    <t xml:space="preserve">TC-HFT-D03</t>
  </si>
  <si>
    <t xml:space="preserve">Gecikme değerlerinin doğrulanması</t>
  </si>
  <si>
    <t xml:space="preserve">TC-HFT-A12 sonrası; birkaç gerçekleşmiş emir.</t>
  </si>
  <si>
    <t xml:space="preserve">1. OUCH_LATENCY satırlarından writing_ns, network_ns, bist_ns değerlerini topla
2. Emir Geçmişi'ndeki gecikme kolonlarıyla karşılaştır
3. Her parçanın tipik aralığını not et</t>
  </si>
  <si>
    <t xml:space="preserve">Ekrandaki gecikmeler logdaki değerlerle aynıdır; yazma ve ağ süreleri ekibin kabul ettiği aralıktadır.</t>
  </si>
  <si>
    <t xml:space="preserve">OUCH_LATENCY satırları + Emir Geçmişi gecikme kolonları</t>
  </si>
  <si>
    <t xml:space="preserve">Hangi parça büyükse sorun oradadır: writing uygulama, network ağ/NIC, bist borsa.</t>
  </si>
  <si>
    <t xml:space="preserve">TC-HFT-D04</t>
  </si>
  <si>
    <t xml:space="preserve">Strateji başına tick-to-trade metriklerinin akması</t>
  </si>
  <si>
    <t xml:space="preserve">HFT servisi çalışıyor; en az bir strateji işlem yapmış.</t>
  </si>
  <si>
    <t xml:space="preserve">1. HFT servisinin metrik adresinden (port 9093) t2t_total, t2t_decide, t2t_send metriklerini al (yazılım ekibiyle)
2. p50 ve p99 değerlerini kaydet</t>
  </si>
  <si>
    <t xml:space="preserve">Metrikler akıyor; p99 değerleri ekibin belirlediği eşiğin altında.</t>
  </si>
  <si>
    <t xml:space="preserve">Prometheus 9093 çıktısı / ClickHouse sorgusu</t>
  </si>
  <si>
    <t xml:space="preserve">Eşik değer ekip tarafından belirlenmeli.</t>
  </si>
  <si>
    <t xml:space="preserve">TC-HFT-E01</t>
  </si>
  <si>
    <t xml:space="preserve">HFT / Yaşam Döngüsü</t>
  </si>
  <si>
    <t xml:space="preserve">Stratejinin durdurulması</t>
  </si>
  <si>
    <t xml:space="preserve">RA; açık pozisyon var, tahtada kâr al emri var.</t>
  </si>
  <si>
    <t xml:space="preserve">1. ⏸ ile stratejiyi durdur
2. Pasif Emirler ve Emir Geçmişi'ni kontrol et
3. Durdurduktan sonra birkaç dakika yeni emir gidip gitmediğini izle (saniye kuralı dahil)</t>
  </si>
  <si>
    <t xml:space="preserve">Strateji yeni emir göndermez; bekleyen emirleri iptal edilir ya da kullanıcıya bekleyen emirlerin tahtada kaldığı açıkça gösterilir; pozisyon korunur.</t>
  </si>
  <si>
    <t xml:space="preserve">hft.txt: 'Unsubscribed from header changed events', 'Cleared {} stale events from queue', 'HftClassic comand setted, isRunning: 0' + Pasif Emirler</t>
  </si>
  <si>
    <t xml:space="preserve">⚠ Durdurma hiçbir koşulda emir iptal etmiyor; kâr al ve diğer emirler tahtada kalır (TC-HFT-R06). Durdurmadan önce kabul edilmiş bir emrin saniye kuralı emri, durdurduktan sonra da gönderilir (TC-HFT-R07). Emirleri kaldırmak için E04 kullanılmalı.</t>
  </si>
  <si>
    <t xml:space="preserve">TC-HFT-E02</t>
  </si>
  <si>
    <t xml:space="preserve">Durdurulan stratejinin yeniden başlatılması</t>
  </si>
  <si>
    <t xml:space="preserve">TC-HFT-E01 sonrası.</t>
  </si>
  <si>
    <t xml:space="preserve">1. ▶ ile başlat
2. Pozisyonun korunduğunu kontrol et
3. Tahtadaki emirlerin strateji tarafından yeniden takip edildiğini (ör. kâr al gerçekleşince pozisyonun düştüğünü) kontrol et</t>
  </si>
  <si>
    <t xml:space="preserve">Pozisyon ve tahtadaki emirler aynen devam eder; strateji tetiklere tepki vermeye devam eder.</t>
  </si>
  <si>
    <t xml:space="preserve">hft.txt: '[STRATEGY_MGR] Strategy started successfully | uniqueKey:' + takip tablosu</t>
  </si>
  <si>
    <t xml:space="preserve">Başlatma için tek geri bildirimin ikon değişimi olup olmadığı kaydedilmeli.</t>
  </si>
  <si>
    <t xml:space="preserve">TC-HFT-E03</t>
  </si>
  <si>
    <t xml:space="preserve">Aktiften Kapat ile pozisyon kapatma</t>
  </si>
  <si>
    <t xml:space="preserve">Test ortamı; açık pozisyonu (long ve ayrı denemede short) ve bekleyen emirleri olan bir strateji.</t>
  </si>
  <si>
    <t xml:space="preserve">1. Emir defteri ⊘ → 'Emirleri İptal Et' penceresinde 'Aktiften Kapat'ı işaretle (yön 'Hepsi'ye geçer) ve 'Emri İptal Et'e bas
2. Önce iptallerin, sonra kapatma emrinin gittiğini sırayla kaydet
3. Kapatma emrinin fiyatını ve tipini kaydet
4. Son pozisyonu kontrol et</t>
  </si>
  <si>
    <t xml:space="preserve">Önce bekleyen emirler iptal edilir; tüm iptaller tamamlanınca pozisyon karşı taraftan gerçekleşecek şekilde kapatılır ve 0 olur.</t>
  </si>
  <si>
    <t xml:space="preserve">Emir Geçmişi (sıra, fiyat) + hft.txt 'cancelAllOrdersFinished called for'</t>
  </si>
  <si>
    <t xml:space="preserve">Kapatma emri long için TABAN fiyatından satış, short için TAVAN fiyatından alış (limit, günlük) olarak gidiyor; piyasadan gerçekleşmesi beklenir ama emir fiyatı ekranda sert görünür. Bir iptal yanıtı gelmezse kapatma başlamayabilir.
Yazılım ekibi için: Strategy.cpp:317-344.</t>
  </si>
  <si>
    <t xml:space="preserve">TC-HFT-E04</t>
  </si>
  <si>
    <t xml:space="preserve">Tüm Emirleri İptal Et (hesap bazlı acil durdurma)</t>
  </si>
  <si>
    <t xml:space="preserve">Hesapta birkaç HFT stratejisi çalışıyor; tahtada bekleyen emirler var.</t>
  </si>
  <si>
    <t xml:space="preserve">1. Üst çubuktaki 🚫 Tüm Emirleri İptal Et'e bas, hesabı seç, onayla
2. Stratejilerin ikonlarını, Pasif Emirler'i ve Emir Geçmişi'ni kontrol et
3. Stratejilerin emirleri yeniden koymadığını birkaç dakika izle
4. Testi 'Aktiften Kapat' işaretliyken tekrarla (E03 davranışı)</t>
  </si>
  <si>
    <t xml:space="preserve">Hesaptaki tüm HFT stratejileri durur ve bekleyen tüm emirler iptal edilir; stratejiler emirleri yeniden koymaz. 'Aktiften Kapat' işaretliyse açık pozisyonlar da kapatılır.</t>
  </si>
  <si>
    <t xml:space="preserve">hft.txt: 'GUIManager::dispatchCancelAllOrders - Emergency stop completed', 'cancelAllOrders start - size=' + ikonlar</t>
  </si>
  <si>
    <t xml:space="preserve">Bu komut önce tüm stratejileri durdurup sonra emirleri iptal ediyor; HFT'de emirleri kaldırmanın tek toplu yolu bu. Durdurulan stratejilerin zamanlanmış saniye kuralı emirlerinin bundan sonra gidip gitmediği ayrıca izlenmeli (TC-HFT-R07).</t>
  </si>
  <si>
    <t xml:space="preserve">TC-HFT-E05</t>
  </si>
  <si>
    <t xml:space="preserve">HFT servisinin gün içinde yeniden başlatılması</t>
  </si>
  <si>
    <t xml:space="preserve">Test ortamı; açık pozisyon ve bekleyen emir var. Yazılım ekibi hazır.</t>
  </si>
  <si>
    <t xml:space="preserve">1. docker restart MAHft
2. Açılışta TC-HFT-G04 ve G05 kontrollerini yap
3. Pozisyonların ve bekleyen emirlerin doğru tanındığını kontrol et
4. Stratejilerin çalışma durumlarını kontrol et
5. Yeniden başlatma öncesine ait log satırlarının durduğunu kontrol et</t>
  </si>
  <si>
    <t xml:space="preserve">O günkü emirler borsadan yeniden yüklenir; strateji açık emirlerini ve pozisyonunu doğru tanır; replay kapısı zamanında açılır; önceki loglar kaybolmaz.</t>
  </si>
  <si>
    <t xml:space="preserve">hft.txt açılış satırları ('ALL OUCH user replays complete') + takip tablosu</t>
  </si>
  <si>
    <t xml:space="preserve">Kullanıcı oturumları sunucu belleğinde tutulduğu için ekran yeniden giriş ister. Log yolu /tmp altındaysa eski loglar kaybolabilir (TC-HFT-R27).</t>
  </si>
  <si>
    <t xml:space="preserve">TC-HFT-E06</t>
  </si>
  <si>
    <t xml:space="preserve">Ertesi gün stratejilerin ve pozisyonların yüklenmesi</t>
  </si>
  <si>
    <t xml:space="preserve">Önceki gün sonunda ayarları kayıtlı ve açık pozisyonu kalmış bir strateji.</t>
  </si>
  <si>
    <t xml:space="preserve">1. Sabah servis açıldıktan sonra stratejinin ayarlarını kontrol et
2. Pozisyonu kontrol et
3. Stratejinin sabah kendiliğinden çalışmaya başlayıp başlamadığını kaydet</t>
  </si>
  <si>
    <t xml:space="preserve">Ayarlar eksiksiz yüklenir; pozisyon doğru gösterilir; strateji kullanıcı başlatmadan işlem yapmaz.</t>
  </si>
  <si>
    <t xml:space="preserve">Ayar ekranı + takip tablosu + ▶/⏸ ikonu</t>
  </si>
  <si>
    <t xml:space="preserve">Strateji sabah kendiliğinden çalışıyorsa mutlaka kayda geçmeli.</t>
  </si>
  <si>
    <t xml:space="preserve">TC-HFT-E07</t>
  </si>
  <si>
    <t xml:space="preserve">Emir servisi gün içinde yeniden başlatıldığında HFT'nin durumu</t>
  </si>
  <si>
    <t xml:space="preserve">Test ortamı; HFT stratejisi çalışıyor. Yazılım ekibi hazır.</t>
  </si>
  <si>
    <t xml:space="preserve">1. docker restart MAOrderService
2. HFT'nin borsa bağlantısını ve hft.txt'deki devir satırlarını izle
3. Bir giriş emrinin hangi yoldan gittiğini token ile kontrol et</t>
  </si>
  <si>
    <t xml:space="preserve">HFT'nin doğrudan borsa bağlantısı etkilenmez ya da devir kısa sürede yeniden yapılır; emirler doğrudan yoldan gitmeye devam eder.</t>
  </si>
  <si>
    <t xml:space="preserve">hft.txt devir satırları + ss -tnp + token araması</t>
  </si>
  <si>
    <t xml:space="preserve">Emir servisi yeniden başlarsa devir mantığı tekrar çalışır; devir saati geçmişse hemen tetiklenir.</t>
  </si>
  <si>
    <t xml:space="preserve">TC-HFT-E08</t>
  </si>
  <si>
    <t xml:space="preserve">Gece kapanışı ve log yedeği</t>
  </si>
  <si>
    <t xml:space="preserve">İş günü sonu.</t>
  </si>
  <si>
    <t xml:space="preserve">1. 23:29'daki otomatik durdurmadan sonra kapanış satırlarını kontrol et
2. Tahtada bekleyen emir kalmadığını kontrol et
3. Ertesi gün log arşivinin S3'e yüklendiğini yazılım ekibiyle kontrol et</t>
  </si>
  <si>
    <t xml:space="preserve">HFT servisi düzgün kapanır; bekleyen emir kalmaz; log arşivi S3'e yüklenir.</t>
  </si>
  <si>
    <t xml:space="preserve">hft.txt son satırlar + S3 arşivi</t>
  </si>
  <si>
    <t xml:space="preserve">HFT dört servis içinde düzgün kapanma akışı olan tek servis. Günlük emirler seans sonunda borsa tarafından zaten düşer.</t>
  </si>
  <si>
    <t xml:space="preserve">TC-HFT-E09</t>
  </si>
  <si>
    <t xml:space="preserve">Gün içi seans kesintisinde (devre kesici) davranış</t>
  </si>
  <si>
    <t xml:space="preserve">RA. Gün içinde devre kesici uygulanan bir hisse (fırsat bulunursa).</t>
  </si>
  <si>
    <t xml:space="preserve">1. Kesinti anında stratejinin durumunu ve emirlerini kaydet
2. Seans dönünce stratejinin kendiliğinden devam edip etmediğini kaydet</t>
  </si>
  <si>
    <t xml:space="preserve">Kesinti boyunca emir gönderilmez; seans dönünce strateji kaldığı yerden devam eder.</t>
  </si>
  <si>
    <t xml:space="preserve">▶/⏸ ikonu + Emir Geçmişi + hft.txt 'not in continuous session.'</t>
  </si>
  <si>
    <t xml:space="preserve">Stop loss, saniye kuralı ve kâr al emirleri seans kontrolü yapmıyor (TC-HFT-R08).</t>
  </si>
  <si>
    <t xml:space="preserve">TC-HFT-F01</t>
  </si>
  <si>
    <t xml:space="preserve">HFT / Ekran</t>
  </si>
  <si>
    <t xml:space="preserve">HFT stratejisi ekleme</t>
  </si>
  <si>
    <t xml:space="preserve">Strateji Ayarları sayfası.</t>
  </si>
  <si>
    <t xml:space="preserve">1. Hesap, hisse ve strateji kimliğini girip HFT stratejisini kaydet
2. Bir alanı boş bırakıp ya da geçersiz değer girip tekrar dene
3. HFT takip tablosunda yeni satırı kontrol et</t>
  </si>
  <si>
    <t xml:space="preserve">Geçerli girişle strateji kaydedilir ve takip tablosunda görünür; eksik ya da geçersiz girişte anlaşılır bir hata mesajı çıkar.</t>
  </si>
  <si>
    <t xml:space="preserve">Ekrandaki mesajlar + takip tablosu</t>
  </si>
  <si>
    <t xml:space="preserve">Mesajların dili kaydedilmeli.</t>
  </si>
  <si>
    <t xml:space="preserve">TC-HFT-F02</t>
  </si>
  <si>
    <t xml:space="preserve">Aynı stratejinin tekrar eklenmesi</t>
  </si>
  <si>
    <t xml:space="preserve">Takip tablosunda kayıtlı bir HFT stratejisi.</t>
  </si>
  <si>
    <t xml:space="preserve">1. Aynı hesap, hisse ve strateji kimliğiyle tekrar eklemeyi dene
2. Takip tablosunu ve sayfa yenilendikten sonraki durumu kontrol et</t>
  </si>
  <si>
    <t xml:space="preserve">Mükerrer strateji eklenemez ve kullanıcı uyarılır.</t>
  </si>
  <si>
    <t xml:space="preserve">Ekran görüntüsü + takip tablosu</t>
  </si>
  <si>
    <t xml:space="preserve">Arbitrajda mükerrer kaydın arka planda biriktiği görülmüştü.</t>
  </si>
  <si>
    <t xml:space="preserve">TC-HFT-F03</t>
  </si>
  <si>
    <t xml:space="preserve">Ayarların kaydedilip geri okunması</t>
  </si>
  <si>
    <t xml:space="preserve">Kayıtlı ayarı olan bir HFT stratejisi.</t>
  </si>
  <si>
    <t xml:space="preserve">1. ⚙ ile ayarları aç, tüm alanları değiştirip Kaydet
2. Pencereyi kapatıp tekrar aç
3. Sayfayı yenileyip tekrar aç
4. Değerlerin aynen geldiğini kontrol et</t>
  </si>
  <si>
    <t xml:space="preserve">Kaydedilen tüm değerler tekrar açıldığında ve sayfa yenilendiğinde aynen görünür; kaydetme sonucu kullanıcıya bildirilir.</t>
  </si>
  <si>
    <t xml:space="preserve">Ayar ekranı (önce/sonra)</t>
  </si>
  <si>
    <t xml:space="preserve">Kaydet pencereyi doğrudan kapatıyor; başarı/hata bildirimi olup olmadığı kaydedilmeli. Stop Loss kapalı kaydedilirse tekrar açılışta −1 görünür.</t>
  </si>
  <si>
    <t xml:space="preserve">TC-HFT-F04</t>
  </si>
  <si>
    <t xml:space="preserve">Ayar kaydetmenin durmuş stratejiyi başlatmaması</t>
  </si>
  <si>
    <t xml:space="preserve">Durmuş (▶) bir HFT stratejisi. İki deneme: daha önce başlatılmış (anlık görüntüsü olan) ve hiç başlatılmamış yeni bir satır.</t>
  </si>
  <si>
    <t xml:space="preserve">1. ⚙ ile bir değeri değiştirip Kaydet'e bas
2. İkonu ve Emir Geçmişi'ni izle
3. hft.txt'de 'HftClassic comand setted, isRunning:' değerini kontrol et</t>
  </si>
  <si>
    <t xml:space="preserve">Ayar kaydedilir, strateji durmuş kalır; başlatma yalnızca ▶ ile yapılır.</t>
  </si>
  <si>
    <t xml:space="preserve">▶/⏸ ikonu + hft.txt 'isRunning: 0'</t>
  </si>
  <si>
    <t xml:space="preserve">Kod incelemesine göre Kaydet mevcut başlat durumunu aynen geri gönderiyor, stratejiyi başlatmıyor. Hiç başlatılmamış satırda bu değer boş gidiyor; ikinci deneme bu yüzden önemli.</t>
  </si>
  <si>
    <t xml:space="preserve">TC-HFT-F05</t>
  </si>
  <si>
    <t xml:space="preserve">Toplu başlat / durdur</t>
  </si>
  <si>
    <t xml:space="preserve">Bir kısmı çalışan, bir kısmı durmuş ve bir tanesi hiç başlatılmamış birkaç HFT stratejisi.</t>
  </si>
  <si>
    <t xml:space="preserve">1. Hepsini seç
2. Başlıktaki toplu ▶/⏸'ye bas
3. Her satırın son durumunu kaydet; tekrar bas ve tekrar kaydet</t>
  </si>
  <si>
    <t xml:space="preserve">Toplu komut sonrası seçili tüm stratejiler aynı duruma gelir; işlem öncesi onay istenir.</t>
  </si>
  <si>
    <t xml:space="preserve">Takip tablosu ▶/⏸ ikonları</t>
  </si>
  <si>
    <t xml:space="preserve">⚠ Toplu düğme satırların gerçek durumuna değil yerel bir anahtara göre çalışıyor; hiç başlatılmamış satırlar atlanıyor. Karışık seçimde beklenmeyen sonuç çıkabilir.</t>
  </si>
  <si>
    <t xml:space="preserve">TC-HFT-F06</t>
  </si>
  <si>
    <t xml:space="preserve">Pozisyon Ekle penceresi</t>
  </si>
  <si>
    <t xml:space="preserve">Durmuş bir HFT stratejisi (test ortamı).</t>
  </si>
  <si>
    <t xml:space="preserve">1. Satır sağ tık → Pozisyon Ekle ile alış yönünde 5 lot, bilinen bir fiyattan pozisyon ekle
2. Takip tablosunda pozisyonu ve maliyeti kontrol et
3. Stratejiyi başlatıp bu pozisyonla işlem yaptığını kontrol et
4. Aynı işlemi strateji çalışırken dene</t>
  </si>
  <si>
    <t xml:space="preserve">Eklenen pozisyon doğru miktar ve fiyatla tabloda görünür ve strateji bu pozisyonu hesaba katar. Strateji çalışırken ekleme ya engellenir ya da güvenli şekilde uygulanır.</t>
  </si>
  <si>
    <t xml:space="preserve">Takip tablosu + Pasif Emirler</t>
  </si>
  <si>
    <t xml:space="preserve">Fiyat sabit ×1000 gönderiliyor; ondalık basamağı farklı hisselerde maliyet kontrol edilmeli (TC-HFT-R17).</t>
  </si>
  <si>
    <t xml:space="preserve">TC-HFT-F07</t>
  </si>
  <si>
    <t xml:space="preserve">Pasif Emirler paneli</t>
  </si>
  <si>
    <t xml:space="preserve">Tahtada bekleyen HFT emirleri var.</t>
  </si>
  <si>
    <t xml:space="preserve">1. Pasif Emirler panelini aç; emirlerin ve kolonların geldiğini kontrol et
2. Emir gerçekleşince ya da iptal olunca panelden kalktığını kontrol et
3. Sayfayı yenileyip tekrar kontrol et</t>
  </si>
  <si>
    <t xml:space="preserve">Panel stratejinin tahtadaki emirlerini hesap, hisse, miktar, gerçekleşen, fiyat, zaman, A/S ve strateji kimliğiyle gösterir; değişiklikler anlık yansır.</t>
  </si>
  <si>
    <t xml:space="preserve">Arbitrajda panele hiç veri gelmediği görülmüştü (TC-ARB-F10).</t>
  </si>
  <si>
    <t xml:space="preserve">TC-HFT-F08</t>
  </si>
  <si>
    <t xml:space="preserve">Emir Geçmişi'nde HFT emirlerinin gösterilmesi</t>
  </si>
  <si>
    <t xml:space="preserve">Gün içinde gerçekleşmiş, iptal edilmiş ve değiştirilmiş HFT emirleri var.</t>
  </si>
  <si>
    <t xml:space="preserve">1. Emir Geçmişi'nde HFT emirlerini filtrele
2. Değiştirilen emirlerin önceki/yeni hallerini kontrol et
3. Gecikme kolonlarını kontrol et
4. Sayfayı yenileyip aynı emirlerin listelendiğini kontrol et</t>
  </si>
  <si>
    <t xml:space="preserve">Tüm HFT emirleri durumlarıyla listelenir; sayfa yenilendikten sonra da görünür.</t>
  </si>
  <si>
    <t xml:space="preserve">Emir Geçmişi (yenileme öncesi/sonrası)</t>
  </si>
  <si>
    <t xml:space="preserve">Arbitrajda değiştirilen emirlerin sayfa yenilendikten sonra listelenmediği görülmüştü.</t>
  </si>
  <si>
    <t xml:space="preserve">TC-HFT-F09</t>
  </si>
  <si>
    <t xml:space="preserve">Satır silme</t>
  </si>
  <si>
    <t xml:space="preserve">Çalışan ve tahtada emri olan bir HFT stratejisi (test ortamı).</t>
  </si>
  <si>
    <t xml:space="preserve">1. Satır sağ tık → Sil
2. Onay istenip istenmediğini kaydet
3. Sildikten sonra hft.txt'de ve Emir Geçmişi'nde stratejinin emir göndermeye devam edip etmediğini izle
4. Sayfayı yenileyip satırın geri gelip gelmediğini kontrol et</t>
  </si>
  <si>
    <t xml:space="preserve">Çalışan ya da emri olan strateji silinmeden önce uyarı ve onay istenir; silinen strateji motorda durdurulur ve emir göndermez.</t>
  </si>
  <si>
    <t xml:space="preserve">Ekran + hft.txt + Emir Geçmişi</t>
  </si>
  <si>
    <t xml:space="preserve">⚠ Sil motora komut göndermiyor, yalnızca ekrandaki listeden kaldırıyor; strateji motorda çalışmaya devam edebilir (TC-HFT-R16). Canlıda denenmemeli.</t>
  </si>
  <si>
    <t xml:space="preserve">TC-HFT-F10</t>
  </si>
  <si>
    <t xml:space="preserve">Anlık görüntüsü olmayan satırın başlatılması</t>
  </si>
  <si>
    <t xml:space="preserve">Takip tablosuna yeni eklenmiş, ayarları hiç kaydedilmemiş bir satır (test ortamı).</t>
  </si>
  <si>
    <t xml:space="preserve">1. Ayarları açmadan satırdaki ▶'ye bas
2. hft.txt'de gelen komutu ve stratejinin davranışını kaydet</t>
  </si>
  <si>
    <t xml:space="preserve">Ayarsız bir strateji başlatılamaz ya da kullanıcıdan önce ayar girmesi istenir.</t>
  </si>
  <si>
    <t xml:space="preserve">hft.txt + ekran</t>
  </si>
  <si>
    <t xml:space="preserve">⚠ Bu durumda ekran Kovala Türü 0 ve Emir Tipi 0 içeren varsayılan bir komut gönderiyor; motor bunu doğrulamadan kabul ediyor ve karma bir mod oluşuyor (TC-HFT-R14).</t>
  </si>
  <si>
    <t xml:space="preserve">TC-HFT-F11</t>
  </si>
  <si>
    <t xml:space="preserve">Özet Görünüm</t>
  </si>
  <si>
    <t xml:space="preserve">Birkaç HFT stratejisi.</t>
  </si>
  <si>
    <t xml:space="preserve">1. Özet Görünüm'ü aç
2. Bilgileri takip tablosuyla karşılaştır</t>
  </si>
  <si>
    <t xml:space="preserve">Özet Görünüm'deki bilgiler takip tablosuyla aynıdır ve anlık güncellenir.</t>
  </si>
  <si>
    <t xml:space="preserve">Özet Görünüm ekran görüntüsü</t>
  </si>
  <si>
    <t xml:space="preserve">Özet görünüm yalnızca okuma yapıyor ve 'DE-' ile başlayan hesapları göstermiyor.</t>
  </si>
  <si>
    <t xml:space="preserve">TC-HFT-F12</t>
  </si>
  <si>
    <t xml:space="preserve">Tabloya satır eklenip silinirken fiyat akışının kesilmemesi</t>
  </si>
  <si>
    <t xml:space="preserve">HFT takip tablosu açık, birkaç strateji çalışıyor.</t>
  </si>
  <si>
    <t xml:space="preserve">1. Fiyatlar akarken tabloya yeni strateji ekle
2. Bir satırı sil
3. Diğer satırlarda fiyat/lot akışında kesinti olup olmadığını izle</t>
  </si>
  <si>
    <t xml:space="preserve">Satır ekleme ve silme diğer satırların fiyat akışını kesmez.</t>
  </si>
  <si>
    <t xml:space="preserve">Ekran kaydı</t>
  </si>
  <si>
    <t xml:space="preserve">Satır listesi değişince ekranın veri bağlantısının yeniden kurulduğu görülüyor; kesinti süresi kaydedilmeli.</t>
  </si>
  <si>
    <t xml:space="preserve">TC-HFT-F13</t>
  </si>
  <si>
    <t xml:space="preserve">Ayar ekranı açıkken değerlerin başka yerden değişmesi</t>
  </si>
  <si>
    <t xml:space="preserve">İki oturum aynı stratejiyi görüyor.</t>
  </si>
  <si>
    <t xml:space="preserve">1. Birinci oturumda ayar penceresini aç ve açık bırak
2. İkinci oturumda Alış Kalan Miktar'ı değiştirip kaydet
3. Birinci oturumda hiçbir şeye dokunmadan Kaydet'e bas
4. Stratejinin güncel ayarını kontrol et</t>
  </si>
  <si>
    <t xml:space="preserve">Birinci oturum eski değeri geri yazmaz; kullanıcı ayarın değiştiği konusunda uyarılır.</t>
  </si>
  <si>
    <t xml:space="preserve">Ayar ekranı + hft.txt</t>
  </si>
  <si>
    <t xml:space="preserve">Pencere açıldığı andaki değerlerle kaydediyor; aynı şey başlat/durdur durumu için de geçerli olabilir.</t>
  </si>
  <si>
    <t xml:space="preserve">Regresyon</t>
  </si>
  <si>
    <t xml:space="preserve">Açıklama:</t>
  </si>
  <si>
    <t xml:space="preserve">Bu sayfa kodda tespit edilmiş bilinen sorunları ve eksik korumaları içerir; her yeni sürümde tekrar koşulur. Beklenen Sonuç her zaman doğru davranışı anlatır: sorun mevcut kodda duruyorsa sonuç 'Başarısız' olur ve bu beklenen bir durumdur. 'Başarılı' sonuç sorunun giderildiğini gösterir. Ekran: eski GUI 59f1689 · Motor: hftsrvprod development.</t>
  </si>
  <si>
    <t xml:space="preserve">Durum:</t>
  </si>
  <si>
    <t xml:space="preserve">AÇIK = kodda hata olarak duruyor.  EKSİK = beklenen bir koruma hiç yok.  RİSK = hata değil ama yanlış kullanıma ya da yanlış sonuca açık.</t>
  </si>
  <si>
    <t xml:space="preserve">Senaryoların çoğu yalnızca test ortamında ve en küçük limitlerle koşulmalı. Ayarların ayrıntısı 'Parametre Eşleştirme' sayfasındaki ilgili P satırında. Sonuç, Durum, Ortam ve Öncelik sütunları açılır listedir.</t>
  </si>
  <si>
    <t xml:space="preserve">Durum</t>
  </si>
  <si>
    <t xml:space="preserve">Başlık</t>
  </si>
  <si>
    <t xml:space="preserve">Ne Oluyor</t>
  </si>
  <si>
    <t xml:space="preserve">Not</t>
  </si>
  <si>
    <t xml:space="preserve">TC-HFT-R01</t>
  </si>
  <si>
    <t xml:space="preserve">AÇIK</t>
  </si>
  <si>
    <t xml:space="preserve">Satış miktarının eldeki pozisyonu aşması</t>
  </si>
  <si>
    <t xml:space="preserve">Kademelerin çaprazlandığı erime anlarında aynı alış emri satış miktarı hesabında iki kez sayılıyor; strateji elindekinden fazla satış gönderebiliyor. 2026-06-11'de canlıda elde 5 lot varken 10 lot satış gitti ve 5 lot açık pozisyon kaldı.</t>
  </si>
  <si>
    <t xml:space="preserve">1. Test ortamında Pozisyonlu Kovala'da 5 lot pozisyonla bir strateji kur
2. Kademelerin hızlı eridiği bir hissede çalıştır
3. Her satışın miktarını anlık pozisyonla karşılaştır
4. Pozisyonun eksiye düşüp düşmediğini kaydet</t>
  </si>
  <si>
    <t xml:space="preserve">Açığa satış istenmedikçe hiçbir satış emri eldeki pozisyonu aşmaz.</t>
  </si>
  <si>
    <t xml:space="preserve">Emir Geçmişi + takip tablosu + hft.txt 'SENDING bidInfoOrder: side='</t>
  </si>
  <si>
    <t xml:space="preserve">Düzeltme önerisi onay bekliyor.
Yazılım ekibi için: tempQuantity = balance − sellFake + buyHeaderQty + buyFakeQty (HftClassic.cpp:650, :723). Detay: mdmps/bug-sell-qty-double-count-2026-06-11.md
İlgili senaryo: TC-HFT-D01</t>
  </si>
  <si>
    <t xml:space="preserve">TC-HFT-R02</t>
  </si>
  <si>
    <t xml:space="preserve">Alarak Başla'da kâr al kademesinin motora ulaşmaması</t>
  </si>
  <si>
    <t xml:space="preserve">Alarak Başla'da kâr al mesafesi ekranda 'Satış Tipi: Pasif / Satış Pasif Kademe' ile giriliyor ve Sell_Passive_Level olarak gidiyor. Motor kâr al fiyatını ve stop loss'u Buy_Passive_Level ile kuruyor; satış tarafı değerini kullanmıyor. Alarak Başla açıkken ekranda Alış Tipi kapalı olduğu için Buy_Passive_Level 0 ya da eski bir değer kalıyor. Sonuç: kâr al emri hiç konmayabilir, yanlış mesafeye konabilir ve stop loss hiç kurulmayabilir.</t>
  </si>
  <si>
    <t xml:space="preserve">1. Test ortamında RA ile (Satış Pasif Kademe 2) stratejiyi kaydet
2. hft.txt'de komutla gelen Buy_Passive_Level / Sell_Passive_Level değerlerini yazılım ekibiyle kontrol et
3. Bir giriş alışı dolduktan sonra kâr al emrinin konup konmadığını ve fiyatını kaydet
4. Stop loss koşulunu oluşturup tepkiyi kaydet</t>
  </si>
  <si>
    <t xml:space="preserve">Ekranda girilen kâr al mesafesi motora ulaşır; kâr al emri giriş fiyatı + 2 kademeye konur ve stop loss kurulur.</t>
  </si>
  <si>
    <t xml:space="preserve">Pasif Emirler + hft.txt 'executeOrder sending passive sell info order after full execution.' / 'checkStopLoss'</t>
  </si>
  <si>
    <t xml:space="preserve">⚠ Ekran ve motor çıktıları karşılaştırılarak çıkarıldı; iki ekip birlikte teyit etmeli. Doğrulanırsa pozisyonsuz alış modunda çıkış yalnızca erime tetiğine kalıyor.
Yazılım ekibi için: Ekran OBS:521-568 (Sell_Passive_Level Alarak Başla'ya bağlı, Buy_Passive_Level Satarak Başla'ya); motor HftClassic.cpp:2052-2058, 1633-1672 (buyPassiveLevel), passiveBidInfoOrder hiç gönderilmiyor.
İlgili parametre: P17, P18</t>
  </si>
  <si>
    <t xml:space="preserve">TC-HFT-R03</t>
  </si>
  <si>
    <t xml:space="preserve">Stop loss'un kapatılamaması (kapalı = giriş fiyatında stop)</t>
  </si>
  <si>
    <t xml:space="preserve">Ekranda Stop Loss kutusu kapalıyken ya da değer boş/0 iken motora 0 gidiyor. Motor yalnızca −1'i 'kapalı' sayıyor; 0, stop fiyatının giriş fiyatına eşit olması demek. Kullanıcı stop loss'u kapattığını düşünürken strateji giriş fiyatına dönüldüğü anda pozisyonu kapatabilir. Kutu (Is_Stop_Loss_Enabled) motor tarafından hiç okunmuyor.</t>
  </si>
  <si>
    <t xml:space="preserve">1. Test ortamında RA + Stop Loss kutusu kapalı kaydet
2. hft.txt'de gelen stop loss değerini kontrol et
3. Giriş alışı sonrası fiyat giriş fiyatına dönüp kademe eridiğinde stratejinin davranışını kaydet</t>
  </si>
  <si>
    <t xml:space="preserve">Kapalı stop loss motorda da kapalıdır; fiyat giriş fiyatına döndüğünde stop loss kaynaklı işlem yapılmaz.</t>
  </si>
  <si>
    <t xml:space="preserve">hft.txt 'checkStopLoss replacing order' / 'checkStopLoss early return' + Emir Geçmişi</t>
  </si>
  <si>
    <t xml:space="preserve">Yazılım ekibi için: Ekran OBS:213-218 (−1 → 0); motor HftClassicCommand.cpp:35, 239 (key yoksa −1), Is_Stop_Loss_Enabled :42-46 kullanılmıyor.
İlgili senaryo: TC-HFT-B11 · İlgili parametre: P20</t>
  </si>
  <si>
    <t xml:space="preserve">TC-HFT-R04</t>
  </si>
  <si>
    <t xml:space="preserve">RİSK</t>
  </si>
  <si>
    <t xml:space="preserve">Pozisyonlu modda stop loss'un çalışmaması</t>
  </si>
  <si>
    <t xml:space="preserve">Stop loss yalnızca Pozisyonsuz Kovala'da (ve kâr al kademesi 0'dan farklıyken) kuruluyor. Pozisyonlu Kovala'da ekranda Stop Loss alanı görünüyor ama etkisi yok.</t>
  </si>
  <si>
    <t xml:space="preserve">1. Test ortamında Pozisyonlu Kovala + Stop Loss açık, 2 ile strateji kur
2. Fiyatın alış fiyatının 2 kademe altına indiği ve kademenin eridiği anı yakala
3. Stop loss kaynaklı işlem olup olmadığını kaydet</t>
  </si>
  <si>
    <t xml:space="preserve">Stop loss ekranda görünen her modda çalışır; çalışmadığı modda alan gizlenir.</t>
  </si>
  <si>
    <t xml:space="preserve">hft.txt 'checkStopLoss' satırları + Emir Geçmişi</t>
  </si>
  <si>
    <t xml:space="preserve">Yazılım ekibi için: SlTpOrderIsReady yalnızca Hft_Type=2 ve startWithSell kapalıyken set ediliyor (HftClassic.cpp:1148-1157).</t>
  </si>
  <si>
    <t xml:space="preserve">TC-HFT-R05</t>
  </si>
  <si>
    <t xml:space="preserve">Başlangıç ve bitiş saatinin motor tarafından kullanılmaması</t>
  </si>
  <si>
    <t xml:space="preserve">Ekranda Başlangıç/Bitiş Saati var ve kaydediliyor ama HFT motoru bu değerleri hiç karşılaştırmıyor; yalnızca saklayıp geri gönderiyor. Strateji saat dışında da işlem yapar ve bitiş saatinde durmaz.</t>
  </si>
  <si>
    <t xml:space="preserve">1. Test ortamında RA + Başlangıç 14:00, Bitiş 14:30 ile stratejiyi 13:00'te başlat
2. 14:00 öncesi ve 14:30 sonrası emir gidip gitmediğini kaydet</t>
  </si>
  <si>
    <t xml:space="preserve">Strateji yalnızca başlangıç ve bitiş saatleri arasında emir gönderir.</t>
  </si>
  <si>
    <t xml:space="preserve">Emir Geçmişi (emir saatleri)</t>
  </si>
  <si>
    <t xml:space="preserve">Kullanıcılar bu alanlara güveniyorsa hemen bilgilendirilmeli.
Yazılım ekibi için: HftClassicCommand.cpp:48-49 tek kullanım; End_Time'ı yalnızca MaxPrice/MinPrice okuyor.
İlgili senaryo: TC-HFT-A11 · İlgili parametre: P13</t>
  </si>
  <si>
    <t xml:space="preserve">TC-HFT-R06</t>
  </si>
  <si>
    <t xml:space="preserve">Strateji durdurulunca bekleyen emirlerin tahtada kalması</t>
  </si>
  <si>
    <t xml:space="preserve">⏸ ile durdurulan strateji hiçbir koşulda emir iptal etmiyor. Kâr al ve diğer emirler tahtada kalıyor ve gerçekleşebiliyor, ama strateji artık olayları dinlemediği için bu gerçekleşmelere tepki vermiyor.</t>
  </si>
  <si>
    <t xml:space="preserve">1. Test ortamında tahtada emri olan bir stratejiyi ⏸ ile durdur
2. Pasif Emirler ve Emir Geçmişi'ni kontrol et
3. Emirlerden biri gerçekleşirse pozisyonun takip tablosuna yansıyıp yansımadığını kaydet</t>
  </si>
  <si>
    <t xml:space="preserve">Durdurma bekleyen emirleri iptal eder ya da kullanıcıya açıkça bekleyen emirler olduğunu gösterip seçim sunar.</t>
  </si>
  <si>
    <t xml:space="preserve">Pasif Emirler + hft.txt 'HftClassic comand setted, isRunning: 0'</t>
  </si>
  <si>
    <t xml:space="preserve">Emirleri kaldırmanın yolu Tüm Emirleri İptal Et (acil durdurma).
Yazılım ekibi için: StrategyManager.cpp:507-556 stopStrategy cancelAllOrders çağırmıyor.
İlgili senaryo: TC-HFT-E01</t>
  </si>
  <si>
    <t xml:space="preserve">TC-HFT-R07</t>
  </si>
  <si>
    <t xml:space="preserve">Durdurulan stratejinin saniye kuralı emri göndermesi</t>
  </si>
  <si>
    <t xml:space="preserve">Saniye kuralı işi emir kabul edildiği anda zamanlanıyor; iş çalışırken stratejinin durdurulup durdurulmadığı ve seans kontrol edilmiyor. Strateji durdurulduktan (ya da Tüm Emirleri İptal Et'ten) birkaç saniye sonra yeni bir emir gidebilir.</t>
  </si>
  <si>
    <t xml:space="preserve">1. Test ortamında Saniye Kuralı 30 sn ile bir giriş emrinin kabul edilmesini sağla
2. Kabulden hemen sonra stratejiyi durdur (bir denemede ⏸, diğerinde Tüm Emirleri İptal Et)
3. 30 sn boyunca Emir Geçmişi'ni izle</t>
  </si>
  <si>
    <t xml:space="preserve">Durdurulmuş stratejiden hiçbir emir gönderilmez.</t>
  </si>
  <si>
    <t xml:space="preserve">hft.txt 'Extracted {} ready jobs', 'sendSecondRuleOrder proceeding to send second rule order' + Emir Geçmişi</t>
  </si>
  <si>
    <t xml:space="preserve">Acil durdurmadan sonra emir gitmesi en riskli senaryo.
Yazılım ekibi için: StrategyManager.cpp:163-189; HftClassic.cpp:2131-2153.</t>
  </si>
  <si>
    <t xml:space="preserve">TC-HFT-R08</t>
  </si>
  <si>
    <t xml:space="preserve">Seans dışında stop loss, saniye kuralı ve kâr al emirlerinin gitmesi</t>
  </si>
  <si>
    <t xml:space="preserve">Seans kontrolü yalnızca yeni tetik emirlerinde yapılıyor. Stop loss, saniye kuralı ve kâr al emirleri açılış/kapanış seansında ya da devre kesicide de gönderilebiliyor.</t>
  </si>
  <si>
    <t xml:space="preserve">1. Test ortamında 17:59'da giriş alışı gerçekleşmiş bir strateji bırak
2. 18:00 sonrası kapanış seansında kâr al / saniye kuralı / stop loss emri gidip gitmediğini izle</t>
  </si>
  <si>
    <t xml:space="preserve">Sürekli müzayede dışında stratejiden hiçbir emir gönderilmez.</t>
  </si>
  <si>
    <t xml:space="preserve">Emir Geçmişi (emir saatleri) + hft.txt</t>
  </si>
  <si>
    <t xml:space="preserve">Yazılım ekibi için: checkStopLoss, sendSecondRuleOrder ve sendPassiveSellInfoOrder'da continuousSession() kontrolü yok.
İlgili senaryo: TC-HFT-A09</t>
  </si>
  <si>
    <t xml:space="preserve">TC-HFT-R09</t>
  </si>
  <si>
    <t xml:space="preserve">EKSİK</t>
  </si>
  <si>
    <t xml:space="preserve">Borsa/PTRM reddinde stratejinin durmaması (red döngüsü)</t>
  </si>
  <si>
    <t xml:space="preserve">HFT stratejisi redde durmuyor ve sayaç tutmuyor; bir sonraki tetikte aynı emri tekrar gönderiyor. Limit ihlalinde saniyede çok sayıda reddedilen emir oluşabilir. (Taban stratejisinde PTRM'de durma mantığı var.)</t>
  </si>
  <si>
    <t xml:space="preserve">1. Test ortamında hesaba düşük risk limiti tanımla
2. Stratejinin limiti aşan emir göndermesini sağla
3. 1 dakika içinde kaç red oluştuğunu ve stratejinin durumunu kaydet</t>
  </si>
  <si>
    <t xml:space="preserve">İlk PTRM reddinde (ya da tanımlı sayıda redde) strateji durur ve kullanıcı sebeple bilgilendirilir.</t>
  </si>
  <si>
    <t xml:space="preserve">hft.txt 'rejectOrder called, order rejected with code:' sayısı + Emir Geçmişi</t>
  </si>
  <si>
    <t xml:space="preserve">Yazılım ekibi için: HftClassic.cpp:2067-2079; yalnızca sent/chaseSent false'a çekiliyor, −420177 hariç.
İlgili senaryo: TC-HFT-C02, C04</t>
  </si>
  <si>
    <t xml:space="preserve">TC-HFT-R10</t>
  </si>
  <si>
    <t xml:space="preserve">Tek İşlem Yap'ın stratejiyi durdurmaması ve Satarak Başla'da çalışmaması</t>
  </si>
  <si>
    <t xml:space="preserve">Tek İşlem stratejiyi durdurmuyor, yalnızca yeni giriş miktarını 0'a çekiyor; herhangi bir ayar kaydında kilit sıfırlanıyor. Kodda iki dalda da alış modu kontrol edildiği için Satarak Başla'da kilit hiç devreye girmiyor ve strateji tekrar tekrar işlem yapıyor.</t>
  </si>
  <si>
    <t xml:space="preserve">1. Test ortamında Tek İşlem Yap açık, Satarak Başla ile strateji kur
2. İlk işlem döngüsünden sonra yeni giriş satışı gidip gitmediğini kaydet
3. Alarak Başla ile tekrarla; bir ayar kaydedip yeni giriş gidip gitmediğini kaydet</t>
  </si>
  <si>
    <t xml:space="preserve">Her iki yönde de tek işlemden sonra yeni giriş yapılmaz ve strateji durur.</t>
  </si>
  <si>
    <t xml:space="preserve">hft.txt 'isOperationDisAllowed true', 'addOrder singleOperationAccepted set to true' + Emir Geçmişi</t>
  </si>
  <si>
    <t xml:space="preserve">Yazılım ekibi için: isSameSideSingleOperation iki dalda isNoPositionBuyMode kontrol ediyor (HftClassic.h:122-132).
İlgili senaryo: TC-HFT-A13</t>
  </si>
  <si>
    <t xml:space="preserve">TC-HFT-R11</t>
  </si>
  <si>
    <t xml:space="preserve">Maks. Alış Fiyatı boşken pozisyonsuz alışın hiç gitmemesi</t>
  </si>
  <si>
    <t xml:space="preserve">Maks. Alış Fiyatı varsayılanı 0 ve motor 0'ı 'sınırsız' değil 'hiçbir fiyat uygun değil' olarak yorumluyor; alış hiç gönderilmiyor. Min. Satış Fiyatı 0 ise satış her zaman geçiyor. İki alan zıt davranıyor ve ekranda anlamı yazmıyor.</t>
  </si>
  <si>
    <t xml:space="preserve">1. Test ortamında RA + Maks. Alış Fiyatı 0 ile stratejiyi başlat
2. Tetik oluştuğunda alış gidip gitmediğini kaydet</t>
  </si>
  <si>
    <t xml:space="preserve">Boş bırakılan fiyat sınırı sınırsız anlamına gelir ya da ekran boş bırakılmasına izin vermez.</t>
  </si>
  <si>
    <t xml:space="preserve">hft.txt 'inBetweenPriceLimits BUY false, getBuyUpperLimit():'</t>
  </si>
  <si>
    <t xml:space="preserve">Kullanıcı 'strateji çalışıyor ama alış yapmıyor' şikayetinin olası kaynağı.
Yazılım ekibi için: HftClassic.cpp:1350-1384.
İlgili parametre: P11</t>
  </si>
  <si>
    <t xml:space="preserve">TC-HFT-R12</t>
  </si>
  <si>
    <t xml:space="preserve">Emir Tipi 'Kalanı İptal Et / Hepsini İptal Et' seçilince kâr al emrinin düşmesi</t>
  </si>
  <si>
    <t xml:space="preserve">Emir Tipi kâr al (pasif kapanış) emrine de uygulanıyor. Anında gerçekleşme isteyen tipler seçilirse kâr al emri tahtaya yazılır yazılmaz iptal oluyor ve pozisyon kâr al olmadan kalıyor.</t>
  </si>
  <si>
    <t xml:space="preserve">1. Test ortamında RA + Emir Tipi: Kalanı İptal Et
2. Giriş alışı dolduktan sonra kâr al emrinin tahtada kalıp kalmadığını kaydet</t>
  </si>
  <si>
    <t xml:space="preserve">Emir Tipi yalnızca giriş emrine uygulanır; kâr al emri tahtada bekler.</t>
  </si>
  <si>
    <t xml:space="preserve">Pasif Emirler + Emir Geçmişi (iptal kayıtları)</t>
  </si>
  <si>
    <t xml:space="preserve">Yazılım ekibi için: TIF setCommand'da bid/ask/chase/bait/pasif TP şablonlarına işleniyor (HftClassic.cpp:80-110).
İlgili parametre: P12</t>
  </si>
  <si>
    <t xml:space="preserve">TC-HFT-R13</t>
  </si>
  <si>
    <t xml:space="preserve">Kısmi dolumda kâr al emrinin konmaması</t>
  </si>
  <si>
    <t xml:space="preserve">Kâr al emri yalnızca giriş emri tamamen dolduğunda gönderiliyor. Giriş kısmen dolup kalanı tahtada beklerse (ya da iptal olursa) eldeki pozisyon kâr al emri olmadan kalıyor.</t>
  </si>
  <si>
    <t xml:space="preserve">1. Test ortamında RA + Girilecek Lot 5
2. Girişin kısmen dolduğu bir durumu yakala
3. Kâr al emri konup konmadığını kaydet</t>
  </si>
  <si>
    <t xml:space="preserve">Gerçekleşen miktar için kâr al emri konur.</t>
  </si>
  <si>
    <t xml:space="preserve">Pasif Emirler + hft.txt 'executeOrder sending passive sell info order after full execution.'</t>
  </si>
  <si>
    <t xml:space="preserve">Yazılım ekibi için: HftClassic.cpp:2052-2058.
İlgili senaryo: TC-HFT-A08</t>
  </si>
  <si>
    <t xml:space="preserve">TC-HFT-R14</t>
  </si>
  <si>
    <t xml:space="preserve">Ayarsız satırın başlatılmasıyla Kovala Türü 0 gönderilmesi</t>
  </si>
  <si>
    <t xml:space="preserve">Takip tablosunda anlık görüntüsü olmayan (ayarı hiç kaydedilmemiş) bir satırın ▶'sine basılınca ekran Hft_Type 0 ve Time_In_Force 0 içeren varsayılan komutu gönderiyor. Motor değeri doğrulamıyor: ne pozisyonlu ne pozisyonsuz hesap tam çalışıyor, Alarak/Satarak Başla bayraklarına bağlı karma bir davranış oluşuyor.</t>
  </si>
  <si>
    <t xml:space="preserve">1. Test ortamında yeni bir HFT satırı ekle, ayarlarını açmadan ▶'ye bas
2. hft.txt'de gelen komutu ve stratejinin emir davranışını kaydet</t>
  </si>
  <si>
    <t xml:space="preserve">Ayarsız strateji başlatılamaz ya da kullanıcı önce ayar girmeye yönlendirilir; motor geçersiz Kovala Türü'nü reddeder.</t>
  </si>
  <si>
    <t xml:space="preserve">hft.txt komut satırları + Emir Geçmişi</t>
  </si>
  <si>
    <t xml:space="preserve">Yazılım ekibi için: Ekran HTF:450-495, 511; motor HftClassicCommand.cpp:54 static_cast, doğrulama yok; ==2 / ==1 kontrolleri (HftClassic.cpp:877, 991, 1441).
İlgili senaryo: TC-HFT-F10 · İlgili parametre: P01</t>
  </si>
  <si>
    <t xml:space="preserve">TC-HFT-R15</t>
  </si>
  <si>
    <t xml:space="preserve">Kovala Türü değişiminde satır içi düzenleme ile ayar penceresinin farklı değer üretmesi</t>
  </si>
  <si>
    <t xml:space="preserve">Satır içinde 'Pozisyonlu'ya geçilince Alış/Satış Tipi pasife, ayar penceresinde aynı geçişte aktife çekiliyor. Ardından pencere açılınca 'pasifse kademe en az 1' kuralı devreye giriyor ve pozisyonlu stratejiye Alış/Satış Pasif Kademe = 1 gönderiliyor.</t>
  </si>
  <si>
    <t xml:space="preserve">1. Test ortamında pozisyonsuz bir satırı satır içinden Pozisyonlu Kovala'ya çevir
2. Ayar penceresini aç, hiçbir şeye dokunmadan kaydet
3. hft.txt'de gelen Buy/Sell_Passive_Level ve Active_Style değerlerini kaydet
4. Aynı geçişi ayar penceresinden yap ve karşılaştır</t>
  </si>
  <si>
    <t xml:space="preserve">İki yoldan yapılan geçiş aynı değerleri üretir; kullanıcının görmediği alanlar değişmez.</t>
  </si>
  <si>
    <t xml:space="preserve">hft.txt komut satırları</t>
  </si>
  <si>
    <t xml:space="preserve">Yazılım ekibi için: VR:455-475 vs OBS:487-488, 529-533, 562-566. Yeni GUI'de de kontrol edilmeli.</t>
  </si>
  <si>
    <t xml:space="preserve">TC-HFT-R16</t>
  </si>
  <si>
    <t xml:space="preserve">Silinen satırın motorda çalışmaya devam etmesi</t>
  </si>
  <si>
    <t xml:space="preserve">Satır sağ tık → Sil motora komut göndermiyor; satırı yalnızca ekranın listesinden kaldırıp panel kaydını güncelliyor. Çalışan bir strateji silinirse motorda çalışmaya ve emir göndermeye devam edebilir, ekranda ise görünmez.</t>
  </si>
  <si>
    <t xml:space="preserve">1. Test ortamında çalışan ve emri olan bir stratejiyi sil
2. hft.txt'de o uniqueKey için satırların devam edip etmediğini izle
3. Emir Geçmişi'nde o stratejiden yeni emir gelip gelmediğini kontrol et</t>
  </si>
  <si>
    <t xml:space="preserve">Silme öncesi strateji durdurulur (ya da silme engellenir); silinen strateji emir göndermez.</t>
  </si>
  <si>
    <t xml:space="preserve">hft.txt uniqueKey filtresi + Emir Geçmişi</t>
  </si>
  <si>
    <t xml:space="preserve">Yazılım ekibi için: HTF:2544, 1876-1996 (localStorage hftParams + postHftPanelToBackendById).
İlgili senaryo: TC-HFT-F09</t>
  </si>
  <si>
    <t xml:space="preserve">TC-HFT-R17</t>
  </si>
  <si>
    <t xml:space="preserve">Fiyatların ondalık sayısına bakılmadan sabit ×1000 gönderilmesi</t>
  </si>
  <si>
    <t xml:space="preserve">Ekran Maks. Alış / Min. Satış Fiyatı ve Pozisyon Ekle fiyatını ondalık basamak sayısına bakmadan her zaman 1000 ile çarparak gönderiyor. Motorun bu enstrüman için beklediği ölçek farklıysa limitler ve maliyet kayar.</t>
  </si>
  <si>
    <t xml:space="preserve">1. Yazılım ekibiyle motorun fiyat ölçeğini (decimal_count) test hissesi için öğren
2. Maks. Alış Fiyatı'na bilinen bir değer gir; logda gelen değeri kontrol et
3. Pozisyon Ekle ile bilinen fiyattan pozisyon ekle; takip tablosundaki maliyeti kontrol et</t>
  </si>
  <si>
    <t xml:space="preserve">Ekranda girilen fiyat motorda aynı fiyat olarak yorumlanır.</t>
  </si>
  <si>
    <t xml:space="preserve">hft.txt 'getBuyUpperLimit():' + takip tablosu maliyet</t>
  </si>
  <si>
    <t xml:space="preserve">Yazılım ekibi için: OBS:177-178, 368-369; APM:46-66.
İlgili parametre: P11, P25</t>
  </si>
  <si>
    <t xml:space="preserve">TC-HFT-R18</t>
  </si>
  <si>
    <t xml:space="preserve">Açık emir durumu yüklenmeden stratejinin işlem yapmaya başlaması (zorla açılan kapı)</t>
  </si>
  <si>
    <t xml:space="preserve">Açılışta açık emirler 60 sn'de yüklenmezse ya da devir 20 sn'de gelmezse kapı zorla açılıyor ve strateji gerçek durumu bilmeden işlem yapabiliyor. Tek iz logdaki satır; alarma bağlı değil.</t>
  </si>
  <si>
    <t xml:space="preserve">1. Test ortamında yazılım ekibiyle devri geciktir
2. HFT servisini açık emir varken yeniden başlat
3. 'replay gate TIMEOUT after' / 'opening gate (zero-handoff)' satırlarını ve ilk strateji emrinin saatini kaydet
4. Ekranda ya da izlemede uyarı olup olmadığını kontrol et</t>
  </si>
  <si>
    <t xml:space="preserve">Açık emir durumu yüklenmeden strateji emir göndermez; süre aşılırsa görünür bir uyarı çıkar.</t>
  </si>
  <si>
    <t xml:space="preserve">hft.txt 'replay gate TIMEOUT after', 'opening gate (zero-handoff)'</t>
  </si>
  <si>
    <t xml:space="preserve">Yazılım ekibi için: StrategyManager.cpp:68, 107 (fail-open).
İlgili senaryo: TC-HFT-G05 · İlgili parametre: P29</t>
  </si>
  <si>
    <t xml:space="preserve">TC-HFT-R19</t>
  </si>
  <si>
    <t xml:space="preserve">Devir gerçekleşmediğinde ya da hesap devredilmediğinde uyarı verilmesi</t>
  </si>
  <si>
    <t xml:space="preserve">Borsa oturumu HFT'ye devredilmezse ya da hesap devredilen oturumun listesinde yoksa emirler emir servisi üzerinden gider. Sistem çalışır görünür, hız avantajı kaybolur ve hiçbir alarm bunu yakalamaz.</t>
  </si>
  <si>
    <t xml:space="preserve">1. Test ortamında devri engelle (ya da devredilmeyen bir hesap kullan)
2. Emir gönderilmesini sağla
3. Ekranda, logda ve izlemede uyarı olup olmadığını kontrol et</t>
  </si>
  <si>
    <t xml:space="preserve">Devir gerçekleşmediğinde ya da emir yedek yoldan gittiğinde açık bir uyarı çıkar.</t>
  </si>
  <si>
    <t xml:space="preserve">İki logda token araması + ekran/izleme</t>
  </si>
  <si>
    <t xml:space="preserve">İlgili senaryo: TC-HFT-G04, C05</t>
  </si>
  <si>
    <t xml:space="preserve">TC-HFT-R20</t>
  </si>
  <si>
    <t xml:space="preserve">Veritabanı bağlantısı olmadan HFT'nin çalışmaya devam etmesi</t>
  </si>
  <si>
    <t xml:space="preserve">HFT servisi veritabanına bağlanamazsa kapanmıyor; ayarlar ve enstrüman limitleri boş kalıyor, büyük emirler bölünmeden gidiyor. Ayar okuma/yazma hataları loga bile yazılmıyor.</t>
  </si>
  <si>
    <t xml:space="preserve">1. Test ortamında veritabanı servisine erişimi kes
2. HFT servisini başlat
3. Servisin ayakta kalıp kalmadığını ve ekranda uyarı olup olmadığını kontrol et
4. Limiti aşacak bir emrin bölünüp bölünmediğini kontrol et</t>
  </si>
  <si>
    <t xml:space="preserve">Veritabanı yokken HFT emir göndermeyi reddeder ya da açıkça uyarır.</t>
  </si>
  <si>
    <t xml:space="preserve">hft.txt 'Credentials are invalid. Error code:' + ekran + Emir Geçmişi</t>
  </si>
  <si>
    <t xml:space="preserve">Yazılım ekibi için: DatabaseServiceClient.cpp:165-167, 186-188 sessiz; setInstrumentLimits çağrılmazsa enterOrder bölmüyor.
İlgili senaryo: TC-HFT-G03</t>
  </si>
  <si>
    <t xml:space="preserve">TC-HFT-R21</t>
  </si>
  <si>
    <t xml:space="preserve">Emir gönderim hız sınırı</t>
  </si>
  <si>
    <t xml:space="preserve">Yazılımda saniye başına emir sayısını sınırlayan mekanizma yok. Red döngüsü (R09) ya da hatalı ayar borsaya çok sayıda emir gönderebilir.</t>
  </si>
  <si>
    <t xml:space="preserve">1. Test ortamında kademeleri çok sık değişen bir hissede düşük eşikle stratejiyi çalıştır
2. Saniye başına en yüksek emir sayısını kaydet
3. Red döngüsünde (C04) aynı ölçümü yap</t>
  </si>
  <si>
    <t xml:space="preserve">Saniye başına emir sayısı tanımlı bir sınırı aşamaz.</t>
  </si>
  <si>
    <t xml:space="preserve">Emir Geçmişi zaman damgaları</t>
  </si>
  <si>
    <t xml:space="preserve">Eksik özellik; sonuç ürün ve risk kararına girdi olur.</t>
  </si>
  <si>
    <t xml:space="preserve">TC-HFT-R22</t>
  </si>
  <si>
    <t xml:space="preserve">Günlük zarar limiti ve toplam pozisyon limiti</t>
  </si>
  <si>
    <t xml:space="preserve">Strateji kâr/zararı raporluyor ama hiçbir eşikle karşılaştırmıyor. Günlük zarar limiti ve stratejiler arası toplam pozisyon limiti yok; tek toplu durdurma hesap bazlı Tüm Emirleri İptal Et.</t>
  </si>
  <si>
    <t xml:space="preserve">1. Test ortamında zarar üreten birkaç işlem döngüsü oluştur
2. Herhangi bir zarar seviyesinde stratejinin durup durmadığını izle
3. Aynı hissede iki stratejiyle toplam pozisyonun sınırlanıp sınırlanmadığını kontrol et</t>
  </si>
  <si>
    <t xml:space="preserve">Tanımlı günlük zarar ya da toplam pozisyon limitine ulaşıldığında strateji durur.</t>
  </si>
  <si>
    <t xml:space="preserve">Takip tablosu kâr/zarar + strateji durumu</t>
  </si>
  <si>
    <t xml:space="preserve">Eksik özellik.
İlgili senaryo: TC-HFT-C06</t>
  </si>
  <si>
    <t xml:space="preserve">TC-HFT-R23</t>
  </si>
  <si>
    <t xml:space="preserve">Kurumun risk limitlerinin HFT emirlerine uygulanmaması</t>
  </si>
  <si>
    <t xml:space="preserve">Aracı kurumun risk sistemi limitleri veritabanı servisine gönderiyor ama hiçbir emir yolunda kontrol edilmiyor; HFT emirleri emir servisine de uğramıyor. Pratikte ön kontrol: enstrüman tutar limiti + sert tavan + borsa/PTRM redleri.</t>
  </si>
  <si>
    <t xml:space="preserve">1. Test ortamında hesaba kurum tarafından düşük limit gönder
2. HFT stratejisinin bu limiti aşan emir göndermesini sağla
3. Emrin yazılımda mı, borsada mı reddedildiğini kaydet</t>
  </si>
  <si>
    <t xml:space="preserve">Kurum limitini aşan HFT emri yazılım içinde durdurulur.</t>
  </si>
  <si>
    <t xml:space="preserve">Emir Geçmişi red kodu</t>
  </si>
  <si>
    <t xml:space="preserve">Yazılım ekibi için: LimitControlService limitleri yalnızca bellekte; OrderService riskControl: false.</t>
  </si>
  <si>
    <t xml:space="preserve">TC-HFT-R24</t>
  </si>
  <si>
    <t xml:space="preserve">Gün içi çöküşte servisin kendiliğinden yeniden başlaması</t>
  </si>
  <si>
    <t xml:space="preserve">HFT servisinin container'ında yeniden başlatma ayarı yok; gün içinde çökerse ertesi sabaha kadar kapalı kalıyor ve makinede yerel alarm yok.</t>
  </si>
  <si>
    <t xml:space="preserve">1. Test ortamında docker kill MAHft
2. Birkaç dakika bekleyip servis durumunu kontrol et
3. Uyarı çıkıp çıkmadığını kontrol et</t>
  </si>
  <si>
    <t xml:space="preserve">Servis kendiliğinden yeniden başlar ya da ekip anında uyarılır.</t>
  </si>
  <si>
    <t xml:space="preserve">docker ps + izleme</t>
  </si>
  <si>
    <t xml:space="preserve">Elle kaldırırken sıra DB → Order → HFT olmalı.</t>
  </si>
  <si>
    <t xml:space="preserve">TC-HFT-R25</t>
  </si>
  <si>
    <t xml:space="preserve">Lisans isteğinde zaman aşımı olmaması</t>
  </si>
  <si>
    <t xml:space="preserve">HFT servisi açılışta lisans sunucusuna zaman aşımı olmadan istek atıyor; sunucu yanıt vermezse servis süresiz asılı kalıyor.</t>
  </si>
  <si>
    <t xml:space="preserve">1. Test ortamında lisans adresini yanıt vermeyen bir adrese çek
2. HFT servisini başlat ve izle</t>
  </si>
  <si>
    <t xml:space="preserve">Lisans isteği makul sürede zaman aşımına uğrar ve servis açık bir hatayla durur.</t>
  </si>
  <si>
    <t xml:space="preserve">docker ps + docker logs MAHft + hft.txt</t>
  </si>
  <si>
    <t xml:space="preserve">Sabah 'container ayakta ama ekran bağlanmıyor' arızasında ilk şüpheli.</t>
  </si>
  <si>
    <t xml:space="preserve">TC-HFT-R26</t>
  </si>
  <si>
    <t xml:space="preserve">Gün içi defter görüntüsü (Glimpse) beklemesinin sonsuz olması</t>
  </si>
  <si>
    <t xml:space="preserve">Açılışta Glimpse tamamlanması zaman aşımı olmadan bekleniyor; tamamlanmazsa servis süresiz asılı kalıyor.</t>
  </si>
  <si>
    <t xml:space="preserve">1. Test ortamında Glimpse bağlantısını engelle
2. HFT servisini başlat ve izle</t>
  </si>
  <si>
    <t xml:space="preserve">Bekleme makul sürede zaman aşımına uğrar ve servis açık bir hatayla durur.</t>
  </si>
  <si>
    <t xml:space="preserve">hft.txt + docker logs MAHft</t>
  </si>
  <si>
    <t xml:space="preserve">Yazılım ekibi için: Glimpse retry 3 deneme / 30 sn start timeout ayrı; tamamlanma beklemesi busy-wait.</t>
  </si>
  <si>
    <t xml:space="preserve">TC-HFT-R27</t>
  </si>
  <si>
    <t xml:space="preserve">Log dosyasında tarih olmaması ve log yolunun belirsizliği</t>
  </si>
  <si>
    <t xml:space="preserve">HFT log satırlarında tarih yok. Config'teki log yolu /tmp altında görünüyor, container'ın bağlı klasörü farklı; log /tmp'ye yazılıyorsa container yeniden başladığında kaybolur.</t>
  </si>
  <si>
    <t xml:space="preserve">1. Sunucuda HFT config'indeki log yolunu kontrol et
2. ~/workingDirectory/container-logs/MAHft/ altında güncel log dosyalarını kontrol et
3. TC-HFT-E05 sırasında restart öncesi satırların korunduğunu kontrol et</t>
  </si>
  <si>
    <t xml:space="preserve">Loglar kalıcı klasöre yazılır, restart sonrası korunur; her satırda tarih bulunur.</t>
  </si>
  <si>
    <t xml:space="preserve">Config + log klasörü listesi</t>
  </si>
  <si>
    <t xml:space="preserve">Yazılım ekibi için: config log yolu /tmp/hft-runtime/log, bind-mount /workingDirectory/HftSrvProd/log.</t>
  </si>
  <si>
    <t xml:space="preserve">TC-HFT-R28</t>
  </si>
  <si>
    <t xml:space="preserve">Strateji olay kuyruğu taşmasının sessiz olması</t>
  </si>
  <si>
    <t xml:space="preserve">Her stratejinin piyasa verisi kuyruğu 50.000 olayla sınırlı; aşılırsa olaylar sessizce atılıyor ve yalnızca bir sayaç artıyor. Rapor logu yorum satırında; taşmanın logda izi yok.</t>
  </si>
  <si>
    <t xml:space="preserve">1. Yazılım ekibiyle yoğun açılış anında sayacı (dropped) okuma yolunu belirle
2. Yoğun bir günde sayacı kaydet</t>
  </si>
  <si>
    <t xml:space="preserve">Kuyruk taşması olmaz; olursa logda ve ekranda uyarı çıkar.</t>
  </si>
  <si>
    <t xml:space="preserve">Yazılım ekibinin sayaç çıktısı</t>
  </si>
  <si>
    <t xml:space="preserve">Yazılım ekibi için: Strategy.cpp:427-446; AlgoWorker.cpp:198-219 rapor satırı yorumda.
İlgili parametre: P28</t>
  </si>
  <si>
    <t xml:space="preserve">TC-HFT-R29</t>
  </si>
  <si>
    <t xml:space="preserve">Parçalara bölünen emrin bütün olarak işlenmemesi</t>
  </si>
  <si>
    <t xml:space="preserve">Limiti aşan emir bölünürken bir parça reddedilirse diğerleri yine gönderiliyor ve strateji emrin başarısız olduğunu düşünebiliyor.</t>
  </si>
  <si>
    <t xml:space="preserve">1. Test ortamında TC-HFT-C01 ayarlarıyla bölünen bir emir oluştur
2. Parçalardan birinin reddedilmesini sağla
3. Diğer parçaların durumunu ve pozisyonu kaydet</t>
  </si>
  <si>
    <t xml:space="preserve">Bir parça reddedildiğinde diğer parçaların durumu stratejiye doğru yansır; pozisyon gerçek gerçekleşmelerle aynı kalır.</t>
  </si>
  <si>
    <t xml:space="preserve">Emir Geçmişi + takip tablosu</t>
  </si>
  <si>
    <t xml:space="preserve">Yazılım ekibi için: MAOrderSDK splitting atomik değil.</t>
  </si>
  <si>
    <t xml:space="preserve">TC-HFT-R30</t>
  </si>
  <si>
    <t xml:space="preserve">Tip uyuşmazlığında ayarların sessizce varsayılana dönmesi</t>
  </si>
  <si>
    <t xml:space="preserve">Motorun komut okuyucusu beklenen tipte gelmeyen alanı hata vermeden varsayılan değere çeviriyor. Ekran ya da başka bir istemci bir alanı yanlış tipte gönderirse (ör. Kovala Türü, Emir Tipi, Saniye Kuralı) ayar sessizce değişir.</t>
  </si>
  <si>
    <t xml:space="preserve">1. Yazılım ekibiyle ekranın gönderdiği tiplerle motorun beklediği tipleri Parametre Eşleştirme sayfasındaki listeye göre karşılaştır
2. Farklı olan varsa o ayarı değiştirip logda gelen değeri kontrol et</t>
  </si>
  <si>
    <t xml:space="preserve">Yanlış tipte gelen alan reddedilir ve loglanır.</t>
  </si>
  <si>
    <t xml:space="preserve">Mevcut eski GUI'de tipler uyumlu görünüyor; yeni GUI geçişinde tekrar kontrol edilmeli.
Yazılım ekibi için: Parser.h:325-336.</t>
  </si>
  <si>
    <t xml:space="preserve">TC-HFT-R31</t>
  </si>
  <si>
    <t xml:space="preserve">Eriyen kademenin fiyatının kaybolması</t>
  </si>
  <si>
    <t xml:space="preserve">Her kademe değişiminde emir şablonunun fiyatı yeni en iyi fiyata güncelleniyor. Kademe tam eriyip kaybolduğu anda emir eriyen kademenin fiyatı yerine yeni kademenin fiyatından gidebilir.</t>
  </si>
  <si>
    <t xml:space="preserve">1. Test ortamında RA ile en az 10 giriş emrinde emir fiyatını ve tetik anında eriyen kademenin fiyatını kaydet
2. Farklı çıkanları işaretle</t>
  </si>
  <si>
    <t xml:space="preserve">Tetik emri her zaman eriyen kademenin fiyatından gönderilir.</t>
  </si>
  <si>
    <t xml:space="preserve">Emir Geçmişi fiyatları + hft.txt 'meltEnoughWithFast'</t>
  </si>
  <si>
    <t xml:space="preserve">Dokümantasyonda bilinen sorun olarak kayıtlı (Bug #1); güncel kodda durumu teyit edilmeli.
Yazılım ekibi için: setOrderPrice.</t>
  </si>
  <si>
    <t xml:space="preserve">TC-HFT-R32</t>
  </si>
  <si>
    <t xml:space="preserve">Yedek yoldan giden emrin iptal ve değiştirilmesi</t>
  </si>
  <si>
    <t xml:space="preserve">İptal ve değiştirme yolunda emrin hangi yoldan gittiğini kontrol eden koruma eksik; yedek yoldan gitmiş bir emrin iptali yanlış yoldan denenebilir.</t>
  </si>
  <si>
    <t xml:space="preserve">1. TC-HFT-C05 ayarlarında yedek yoldan giden bir emrin tahtada beklemesini sağla
2. Emri ekrandan iptal et, sonra benzer bir emri değiştir
3. Sonuçları kaydet</t>
  </si>
  <si>
    <t xml:space="preserve">Yedek yoldan giden emrin iptali ve değiştirilmesi başarıyla yapılır.</t>
  </si>
  <si>
    <t xml:space="preserve">Emir Geçmişi + iki logda token araması</t>
  </si>
  <si>
    <t xml:space="preserve">Yazılım ekibi için: HANDOFF.md issue #25.</t>
  </si>
  <si>
    <t xml:space="preserve">TC-HFT-R33</t>
  </si>
  <si>
    <t xml:space="preserve">İptal/red kayıtlarının bellekte kalması ve config yorum satırı hatası</t>
  </si>
  <si>
    <t xml:space="preserve">İptal edilen emirlerin kimlik kayıtları temizlenmiyor (bellek büyür); reddedilen emir kimliği silinmediği için yeniden kullanılamıyor. Ayrıca eski biçimli config okuyucusu satır sonu '#' yorumlarını ayırmıyor.</t>
  </si>
  <si>
    <t xml:space="preserve">1. Prod'da gün boyu HFT servisinin bellek kullanımını izle (docker stats / cAdvisor)
2. Config'te '#' yorumlu satırların açılışta okunan değerlerini yazılım ekibiyle kontrol et</t>
  </si>
  <si>
    <t xml:space="preserve">Bellek gün içinde sabit kalır; config değerleri yorumlardan bağımsız okunur.</t>
  </si>
  <si>
    <t xml:space="preserve">docker stats / cAdvisor + hft.txt açılış</t>
  </si>
  <si>
    <t xml:space="preserve">Yazılım ekibi için: cancelOrder token haritaları; HANDOFF.md issue #20 (sdkRecvSchedPolicy).</t>
  </si>
  <si>
    <t xml:space="preserve">HFT — PARAMETRE EŞLEŞTİRME</t>
  </si>
  <si>
    <t xml:space="preserve">Bu sayfa, HFT ayar penceresindeki (emir defteri ⚙ → OrderBookSettings) her alanın motorda (MAHft / HftClassic) hangi parametreye karşılık geldiğini ve ne işe yaradığını gösterir. Ekran: eski GUI, commit 59f1689 (OBS = OrderBookSettings.tsx, HTF = HftTrackerForm.tsx, VR = VirtualizedHftRow.tsx, APM = AddPositionModal.tsx). Motor: hftsrvprod development (HftClassicCommand.cpp, HftClassic.cpp). Durum: Eşleşiyor = ekran ve motor tutarlı. ÇELİŞKİLİ = ekran, motor ya da beklenen davranış birbirini tutmuyor, test edilmeli. KULLANILMIYOR = gönderiliyor ama motorda etkisi yok. BULUNAMADI = beklenen alan ya da kontrol kodda yok. TEYİT BEKLİYOR = davranış anlaşıldı ama test edilen GUI sürümünde doğrulanmalı.</t>
  </si>
  <si>
    <t xml:space="preserve">Ref</t>
  </si>
  <si>
    <t xml:space="preserve">Arayüz Etiketi</t>
  </si>
  <si>
    <t xml:space="preserve">Motor Parametresi</t>
  </si>
  <si>
    <t xml:space="preserve">Kaynak</t>
  </si>
  <si>
    <t xml:space="preserve">P01</t>
  </si>
  <si>
    <t xml:space="preserve">Kovala Türü: Pozisyonlu Kovala / Pozisyonsuz Kovala</t>
  </si>
  <si>
    <t xml:space="preserve">Hft_Type (Long): 1 = Pozisyonlu, 2 = Pozisyonsuz</t>
  </si>
  <si>
    <t xml:space="preserve">ÇELİŞKİLİ</t>
  </si>
  <si>
    <t xml:space="preserve">Ekran yalnızca 1 ya da 2 gönderiyor (varsayılan 1). ⚠ İstisna: ayarı hiç kaydedilmemiş satır ▶ ile başlatılırsa 0 gidiyor ve motor doğrulamadan kabul ediyor (TC-HFT-R14). Motor enum: 0 notHft, 1 HftClassic, 2 HftNoPosition, 3 MaxPrice, 4 Warrant, 5 MinPrice. Kâr al, stop loss ve fiyat sınırları yalnızca 2'de; Düzeltme Modu yalnızca 1'de çalışır.</t>
  </si>
  <si>
    <t xml:space="preserve">Ekran: OBS:120, 349, 980-1000; HTF:450-511 · Motor: HftClassicCommand.cpp:54; Enumarations.h:50-56</t>
  </si>
  <si>
    <t xml:space="preserve">P02</t>
  </si>
  <si>
    <t xml:space="preserve">Alarak Başla / Satarak Başla</t>
  </si>
  <si>
    <t xml:space="preserve">Start_With_Buy / Start_With_Sell (Bool)</t>
  </si>
  <si>
    <t xml:space="preserve">Eşleşiyor</t>
  </si>
  <si>
    <t xml:space="preserve">Pozisyonsuz modda giriş yönü. Alarak Başla: satış kademesi eriyince alış, dolunca kâr al; Satarak Başla: alış kademesi eriyince (açığa) satış, kâr al yok. Motorun 'pozisyonsuz mu' kararlarının bir kısmı bu iki bayraktan türetiliyor. Pozisyonlu modda ekran ilk yüklemede false yapıyor.</t>
  </si>
  <si>
    <t xml:space="preserve">Ekran: OBS:131, 143, 379-380, 498-499 · Motor: HftClassicCommand.cpp:11-12; HftClassic.h:92-94</t>
  </si>
  <si>
    <t xml:space="preserve">P03</t>
  </si>
  <si>
    <t xml:space="preserve">Girilecek Lot</t>
  </si>
  <si>
    <t xml:space="preserve">No_Position_Lot (Long)</t>
  </si>
  <si>
    <t xml:space="preserve">Pozisyonsuz modda giriş lotu. Varsayılan 0 (0 iken giriş yapılmaz). Hesaplanan miktar bundan küçükse emir gönderilmez.</t>
  </si>
  <si>
    <t xml:space="preserve">Ekran: OBS:176, 226, 367, 1170 · Motor: HftClassicCommand.cpp:30; HftClassic.cpp:950-966</t>
  </si>
  <si>
    <t xml:space="preserve">P04</t>
  </si>
  <si>
    <t xml:space="preserve">Alış Kalan Miktar / Satış Kalan Miktar</t>
  </si>
  <si>
    <t xml:space="preserve">Trigger_Qty_Buy / Trigger_Qty_Sell (Long) → buyQtyBarrier / sellQtyBarrier</t>
  </si>
  <si>
    <t xml:space="preserve">Tetik eşiği. En iyi alış kademesinin lotu Alış Kalan Miktar'a EŞİT ya da altına inince SATIŞ, en iyi satış kademesinin lotu Satış Kalan Miktar'a inince ALIŞ gider. Stop loss tetiğinde de Alış Kalan Miktar kullanılır. Varsayılan 0.</t>
  </si>
  <si>
    <t xml:space="preserve">Ekran: OBS:273-289, 360-361, 1252, 1268 · Motor: HftClassicCommand.cpp:28-29; HftClassic.cpp:1198-1209</t>
  </si>
  <si>
    <t xml:space="preserve">P05</t>
  </si>
  <si>
    <t xml:space="preserve">Pasif Alış Kovala / Pasif Satış Kovala</t>
  </si>
  <si>
    <t xml:space="preserve">Chase_Buy_Passive / Chase_Sell_Passive (Bool)</t>
  </si>
  <si>
    <t xml:space="preserve">Alt/üst kademedeki kendi emirlerini de miktara ekler; daha büyük emir üretir. Yalnızca Pozisyonlu Kovala'da görünür; pozisyonsuzda ekran üç katmanda false'a zorluyor.</t>
  </si>
  <si>
    <t xml:space="preserve">Ekran: OBS:121-122, 398-399, 991-995, 1024-1032; UTL:336-340 · Motor: HftClassicCommand.cpp:7-8</t>
  </si>
  <si>
    <t xml:space="preserve">P06</t>
  </si>
  <si>
    <t xml:space="preserve">Wait_For_Header (Bool)</t>
  </si>
  <si>
    <t xml:space="preserve">Açıksa strateji kademede kendi emri varken bekler; kapalıysa saniye kuralına göre hareket eder. Varsayılan kapalı.</t>
  </si>
  <si>
    <t xml:space="preserve">Ekran: OBS:126, 404, 1039 · Motor: HftClassicCommand.cpp:10; HftClassic.cpp:1181-1195</t>
  </si>
  <si>
    <t xml:space="preserve">P07</t>
  </si>
  <si>
    <t xml:space="preserve">Second_Rule_Duration (Long, saniye)</t>
  </si>
  <si>
    <t xml:space="preserve">Kabul edilen her strateji emrinden N sn sonra emir hâlâ karşı kademedeyse ters yönde, o tarafın kendi en iyi fiyatından günlük pasif emir yazılır (müşteri kodu 'B'). Ekran ve motor 0'ı 1'e çeviriyor; kapatılamıyor. Alarak Başla'da kâr al varken alış için devre dışı. ⚠ İş çalışırken strateji durumu ve seans kontrol edilmiyor (TC-HFT-R07, R08).</t>
  </si>
  <si>
    <t xml:space="preserve">Ekran: OBS:175, 225, 366 · Motor: HftClassicCommand.cpp:38-41; HftClassic.cpp:1674-1773, 2131-2153</t>
  </si>
  <si>
    <t xml:space="preserve">P08</t>
  </si>
  <si>
    <t xml:space="preserve">Düzeltme Modu</t>
  </si>
  <si>
    <t xml:space="preserve">Replace_Mode (Bool)</t>
  </si>
  <si>
    <t xml:space="preserve">Yalnızca Pozisyonlu Kovala'da ve satış tarafında: yeni satış yerine en kötü pasif satışı hedef fiyata taşır. Açılınca Short/Sell'i Sell'e zorlar. Ekran pozisyonsuzda false gönderiyor.</t>
  </si>
  <si>
    <t xml:space="preserve">Ekran: OBS:158-159, 364, 1062-1072 · Motor: HftClassicCommand.cpp:14; HftClassic.cpp:1441</t>
  </si>
  <si>
    <t xml:space="preserve">P09</t>
  </si>
  <si>
    <t xml:space="preserve">Short / Sell düğmeleri</t>
  </si>
  <si>
    <t xml:space="preserve">Send_Sell_Orders_Instead_Of_Short (Bool)</t>
  </si>
  <si>
    <t xml:space="preserve">Açıkken satışlar açığa satış (SHORT_SELL) yerine normal satış (SELL) olarak gider. Düzeltme Modu açıkken zorla açık.</t>
  </si>
  <si>
    <t xml:space="preserve">Ekran: OBS:123, 400-403, 596-600 · Motor: HftClassicCommand.cpp:9; HftClassic.cpp:76-79</t>
  </si>
  <si>
    <t xml:space="preserve">P10</t>
  </si>
  <si>
    <t xml:space="preserve">Perform_Single_Operation (Bool)</t>
  </si>
  <si>
    <t xml:space="preserve">⚠ Stratejiyi durdurmuyor, yalnızca bir işlemden sonra pozisyonsuz giriş miktarını 0'a çekiyor; her ayar kaydında sıfırlanıyor. Satarak Başla'da kilit hiç devreye girmiyor (TC-HFT-R10).</t>
  </si>
  <si>
    <t xml:space="preserve">Ekran: OBS:135, 381, 1212 · Motor: HftClassicCommand.cpp:13; HftClassic.h:122-132</t>
  </si>
  <si>
    <t xml:space="preserve">P11</t>
  </si>
  <si>
    <t xml:space="preserve">Maks. Alış Fiyatı / Min. Satış Fiyatı</t>
  </si>
  <si>
    <t xml:space="preserve">Buy_Upper_Limit_Price / Sell_Below_Limit_Price (Long)</t>
  </si>
  <si>
    <t xml:space="preserve">Sınır dışında emir gitmez (0 lot emir de gitmez). Yalnızca pozisyonsuz modda, saniye kuralında ve Max Takip'te uygulanıyor. ⚠ Varsayılan 0: Maks. Alış 0 iken alış HİÇ gitmez, Min. Satış 0 iken satış her zaman geçer (TC-HFT-R11). Ekran fiyatı ondalık sayısına bakmadan ×1000 gönderiyor (TC-HFT-R17).</t>
  </si>
  <si>
    <t xml:space="preserve">Ekran: OBS:177-178, 368-369, 1193, 1216 · Motor: HftClassicCommand.cpp:25-26; HftClassic.cpp:1350-1384</t>
  </si>
  <si>
    <t xml:space="preserve">P12</t>
  </si>
  <si>
    <t xml:space="preserve">Emir Tipi: Kalanı Pasife Yaz / Kalanı İptal Et / Hepsini İptal Et</t>
  </si>
  <si>
    <t xml:space="preserve">Time_In_Force (Long): 1 / 2 / 3 → executionType</t>
  </si>
  <si>
    <t xml:space="preserve">Giriş, kovala, yem ve kâr al emirlerinin geçerlilik tipi; saniye kuralı ve kapatma emirleri her zaman günlük. ⚠ 2 ya da 3 seçilirse kâr al emri de anında düşüyor (TC-HFT-R12). Ayarsız satır başlatılırsa 0 gidiyor.</t>
  </si>
  <si>
    <t xml:space="preserve">Ekran: OBS:130, 365, 1096-1100 · Motor: HftClassicCommand.cpp:52; HftClassic.cpp:80-110</t>
  </si>
  <si>
    <t xml:space="preserve">P13</t>
  </si>
  <si>
    <t xml:space="preserve">Başlangıç Saati / Bitiş Saati</t>
  </si>
  <si>
    <t xml:space="preserve">Start_Time / Stop_Time (Long, saniye)</t>
  </si>
  <si>
    <t xml:space="preserve">KULLANILMIYOR</t>
  </si>
  <si>
    <t xml:space="preserve">⚠ HFT motoru bu değerleri hiç karşılaştırmıyor; yalnızca saklayıp geri gönderiyor. Strateji saat dışında işlem yapar, bitişte durmaz (TC-HFT-R05). Ekranda boş saat 0 saniye gidiyor.</t>
  </si>
  <si>
    <t xml:space="preserve">Ekran: OBS:118-119, 354-355 · Motor: HftClassicCommand.cpp:48-49, 244-248</t>
  </si>
  <si>
    <t xml:space="preserve">P14</t>
  </si>
  <si>
    <t xml:space="preserve">Baz Lot Alış / Baz Lot Satış (onay kutusu + sayı)</t>
  </si>
  <si>
    <t xml:space="preserve">Is_Lot_Qty_Buy/Sell_Enabled (Bool) + Lot_Qty_Buy / Lot_Qty_Sell (Long)</t>
  </si>
  <si>
    <t xml:space="preserve">En iyi kademe dışındaki kademelerde emir üst sınırı; Max Takip için yedek lot. Pozisyonlu modda ekranda zorunlu (en az 1). Onay kutusu motorda okunmuyor; ekran pozisyonsuzda kutu kapalıyken 0 göndererek telafi ediyor.</t>
  </si>
  <si>
    <t xml:space="preserve">Ekran: OBS:151-153, 362-363, 384-385 · Motor: HftClassicCommand.cpp:16-19</t>
  </si>
  <si>
    <t xml:space="preserve">P15</t>
  </si>
  <si>
    <t xml:space="preserve">Max Alış Takip / Max Alış %, Max Satış Takip / Max Satış %</t>
  </si>
  <si>
    <t xml:space="preserve">Follow_Max_Buy/Sell (Bool) + Follow_Max_*_Percentage (Int)</t>
  </si>
  <si>
    <t xml:space="preserve">TEYİT BEKLİYOR</t>
  </si>
  <si>
    <t xml:space="preserve">Azami emir büyüklüğündeki agresif işlem erime sayılır. Yüzde 0–100; takip kapalıyken 0 gider. 'Azami emir büyüklüğü'nün nereden geldiği yazılım ekibinden teyit edilmeli (TC-HFT-B06).</t>
  </si>
  <si>
    <t xml:space="preserve">Ekran: OBS:228-229, 386-390, 1331-1416 · Motor: HftClassicCommand.cpp:20-23</t>
  </si>
  <si>
    <t xml:space="preserve">P16</t>
  </si>
  <si>
    <t xml:space="preserve">Alış Tipi / Satış Tipi: Aktif / Pasif</t>
  </si>
  <si>
    <t xml:space="preserve">Hft_Buy_Active_Style / Hft_Sell_Active_Style (Bool)</t>
  </si>
  <si>
    <t xml:space="preserve">Ekranda pozisyonsuz sütununda; Aktif seçilince ilgili Pasif Kademe 0'a, Pasif seçilince en az 1'e çekiliyor. Motorda ise yalnızca pozisyonlu modda ve neredeyse etkisiz (tek fark header değişiminde stop loss kontrolünün atlanması). Satır içi düzenleme ile ayar penceresi Pozisyonlu'ya geçişte bu alanları farklı ayarlıyor (TC-HFT-R15).</t>
  </si>
  <si>
    <t xml:space="preserve">Ekran: OBS:137, 140, 382-383, 487-488, 1431-1474; VR:455-475 · Motor: HftClassic.cpp:1843-1874</t>
  </si>
  <si>
    <t xml:space="preserve">P17</t>
  </si>
  <si>
    <t xml:space="preserve">Satış Pasif Kademe</t>
  </si>
  <si>
    <t xml:space="preserve">Sell_Passive_Level (Long)</t>
  </si>
  <si>
    <t xml:space="preserve">⚠ Ekranda Alarak Başla'nın kâr al mesafesi olarak duruyor (Satış Tipi Pasif iken). Motor satış tarafında hesaplanan pasif emri hiç göndermiyor; kâr al için Buy_Passive_Level'ı kullanıyor. Alarak Başla'da kâr al ve stop loss bu yüzden çalışmayabilir (TC-HFT-R02).</t>
  </si>
  <si>
    <t xml:space="preserve">Ekran: OBS:247, 371, 521-535 · Motor: HftClassicCommand.cpp:33-34</t>
  </si>
  <si>
    <t xml:space="preserve">P18</t>
  </si>
  <si>
    <t xml:space="preserve">Alış Pasif Kademe</t>
  </si>
  <si>
    <t xml:space="preserve">Buy_Passive_Level (Long)</t>
  </si>
  <si>
    <t xml:space="preserve">Motorda kâr al fiyatı = giriş + Buy_Passive_Level × fiyat adımı; stop loss da yalnızca bu değer 0'dan farklıyken kuruluyor. ⚠ Ekranda bu alan Satarak Başla'ya bağlı ve Alarak Başla açıkken devre dışı (TC-HFT-R02).</t>
  </si>
  <si>
    <t xml:space="preserve">Ekran: OBS:246, 370, 554-568 · Motor: HftClassicCommand.cpp:33-34; HftClassic.cpp:2052-2058, 1633-1672</t>
  </si>
  <si>
    <t xml:space="preserve">P19</t>
  </si>
  <si>
    <t xml:space="preserve">(Ekranda yok) Kâr Al seviyesi</t>
  </si>
  <si>
    <t xml:space="preserve">Take_Profit_Level</t>
  </si>
  <si>
    <t xml:space="preserve">Ekranda kâr al alanı yok; motorda okuma satırı yorumda ve hiçbir yerde kullanılmıyor. Tek kâr al mekanizması Pasif Kademe'ye bağlı pasif kapanış emri.</t>
  </si>
  <si>
    <t xml:space="preserve">Motor: HftClassicCommand.cpp:36; HftClassic.cpp:1923-1933</t>
  </si>
  <si>
    <t xml:space="preserve">P20</t>
  </si>
  <si>
    <t xml:space="preserve">Stop Loss (onay kutusu + sayı)</t>
  </si>
  <si>
    <t xml:space="preserve">Is_Stop_Loss_Enabled (Bool) + Hft_Stop_Loss_Level (Long)</t>
  </si>
  <si>
    <t xml:space="preserve">Stop fiyatı = giriş − N × fiyat adımı; tetik: en iyi alış stop fiyatına inip lotu Alış Kalan Miktar'a düşünce kâr al emri o fiyata taşınır. Yalnızca pozisyonsuz modda ve Buy_Passive_Level ≠ 0 iken. ⚠ Onay kutusu motorda okunmuyor; ekran kapalı/boş/−1 için 0 gönderiyor, motor yalnızca −1'i kapalı sayıyor: 'kapalı' = giriş fiyatında stop (TC-HFT-R03).</t>
  </si>
  <si>
    <t xml:space="preserve">Ekran: OBS:173-174, 188-224, 375-376 · Motor: HftClassicCommand.cpp:35, 239; HftClassic.cpp:1212-1348</t>
  </si>
  <si>
    <t xml:space="preserve">P21</t>
  </si>
  <si>
    <t xml:space="preserve">(Ekranda yok) Başlat / Durdur</t>
  </si>
  <si>
    <t xml:space="preserve">Strategy_Start (Bool) — Command_Type 51, istek commandType 1</t>
  </si>
  <si>
    <t xml:space="preserve">▶/⏸ mevcut değerin tersini gönderir. Kaydet mevcut değeri aynen geri gönderir, stratejiyi başlatmaz (ayarsız satırda değer boş gider). Is_Running da gönderiliyor ama motor kullanmıyor. Durdurma emir iptal etmiyor (TC-HFT-R06).</t>
  </si>
  <si>
    <t xml:space="preserve">Ekran: OBS:350-357, 417-436; HTF:442-569, 1531 · Motor: BaseStrategyCommand.cpp:15-18</t>
  </si>
  <si>
    <t xml:space="preserve">P22</t>
  </si>
  <si>
    <t xml:space="preserve">Toplu ▶/⏸ ve toplu ⚙ (başlık)</t>
  </si>
  <si>
    <t xml:space="preserve">Satır başına Strategy_Start = bulkStarted / satır başına commandType 1</t>
  </si>
  <si>
    <t xml:space="preserve">Toplu başlat/durdur satırların gerçek durumuna değil yerel bir anahtara göre çalışıyor; ayarsız satırlar atlanıyor. Toplu ayar seçili satırların ortak değerleriyle pencereyi açıyor.</t>
  </si>
  <si>
    <t xml:space="preserve">Ekran: HTF:2013-2038, 1489-1618</t>
  </si>
  <si>
    <t xml:space="preserve">P23</t>
  </si>
  <si>
    <t xml:space="preserve">Satır sağ tık → Sil</t>
  </si>
  <si>
    <t xml:space="preserve">(komut yok) localStorage hftParams + postHftPanelToBackendById</t>
  </si>
  <si>
    <t xml:space="preserve">⚠ Motora durdurma komutu gitmiyor; çalışan strateji motorda devam edebilir (TC-HFT-R16).</t>
  </si>
  <si>
    <t xml:space="preserve">Ekran: HTF:2544, 1876-1996</t>
  </si>
  <si>
    <t xml:space="preserve">P24</t>
  </si>
  <si>
    <t xml:space="preserve">Satır sağ tık → Pozisyon Ekle (ve emir defteri +)</t>
  </si>
  <si>
    <t xml:space="preserve">commandType 3: Order_Quantity (Long), Order_Price (Long, ×1000), Order_Side 66/83 (Int)</t>
  </si>
  <si>
    <t xml:space="preserve">Stratejiye elle pozisyon tanıtır. Fiyat ondalık sayısına bakılmadan ×1000 (TC-HFT-R17). Strateji çalışırken davranışı test edilmeli (TC-HFT-F06).</t>
  </si>
  <si>
    <t xml:space="preserve">Ekran: HTF:2534; APM:46-66 · Motor: SetBalanceCommand</t>
  </si>
  <si>
    <t xml:space="preserve">P25</t>
  </si>
  <si>
    <t xml:space="preserve">🚫 Tüm Emirleri İptal Et (üst çubuk) / ⊘ Emirleri İptal Et (emir defteri)</t>
  </si>
  <si>
    <t xml:space="preserve">commandType 7 (CancelAll); 'Aktiften Kapat' işaretliyse 9 (ClosePosition). Üst çubukta Orderbook_Id 0</t>
  </si>
  <si>
    <t xml:space="preserve">Orderbook_Id 0 ile gelen iptal acil durum olarak işleniyor: önce tüm stratejiler durur, sonra tüm emirler iptal edilir. Aktiften Kapat: emirler iptal edilir, sonra long pozisyon TABAN fiyatından satış, short TAVAN fiyatından alış (limit, günlük) ile kapatılır. HFT'de ayrı 'Pozisyonu Kapat' menüsü yok.</t>
  </si>
  <si>
    <t xml:space="preserve">Ekran: GA:343-398, 1488, 1652; OB:1875-1936, 2073; CAM:21-27, 115 · Motor: GUIManager.cpp:674-684; Strategy.cpp:317-344</t>
  </si>
  <si>
    <t xml:space="preserve">P26</t>
  </si>
  <si>
    <t xml:space="preserve">(Ekranda yok) Enstrüman emir tutarı limiti</t>
  </si>
  <si>
    <t xml:space="preserve">Instrument.maxOrderValue → InstrumentLimit::max_order_value</t>
  </si>
  <si>
    <t xml:space="preserve">Veritabanından gelir; aşan emir parçalara bölünür. Veritabanı bağlantısı yoksa yüklenmez ve bölme devre dışı kalır (TC-HFT-R20).</t>
  </si>
  <si>
    <t xml:space="preserve">01-mimari.md 'Emir tutar sınırları'</t>
  </si>
  <si>
    <t xml:space="preserve">P27</t>
  </si>
  <si>
    <t xml:space="preserve">(Ekranda yok) Sert tavan</t>
  </si>
  <si>
    <t xml:space="preserve">sdkOrderHardCapTry / order_hard_cap_try</t>
  </si>
  <si>
    <t xml:space="preserve">Tek emrin tutar tavanı; aşan emir 1003 ile reddedilir. Üretimde 50.000.000 TL; müşteri bazında HFT-Configuration.toml'da.</t>
  </si>
  <si>
    <t xml:space="preserve">01-mimari.md 'SDK config anahtarları'</t>
  </si>
  <si>
    <t xml:space="preserve">P28</t>
  </si>
  <si>
    <t xml:space="preserve">(Ekranda yok) Strateji olay kuyruğu</t>
  </si>
  <si>
    <t xml:space="preserve">strategyQueueMaxEvents = 50000</t>
  </si>
  <si>
    <t xml:space="preserve">Aşılırsa olaylar sessizce atılır, yalnızca sayaç artar; log yok (TC-HFT-R28).</t>
  </si>
  <si>
    <t xml:space="preserve">Motor: Strategy.cpp:427-446; AlgoWorker.cpp:198-219</t>
  </si>
  <si>
    <t xml:space="preserve">P29</t>
  </si>
  <si>
    <t xml:space="preserve">(Ekranda yok) Replay kapısı</t>
  </si>
  <si>
    <t xml:space="preserve">60 sn timeout + 20 sn zero-handoff watchdog</t>
  </si>
  <si>
    <t xml:space="preserve">Replay bitene kadar olay işlenmiyor ('ALL OUCH user replays complete; strategies may go live'). Süre aşılırsa kapı zorla açılır (fail-open), alarm yok (TC-HFT-R18).</t>
  </si>
  <si>
    <t xml:space="preserve">Motor: StrategyManager.cpp:68, 107, 119; HftClassic.cpp:567</t>
  </si>
  <si>
    <t xml:space="preserve">P30</t>
  </si>
  <si>
    <t xml:space="preserve">(Ekranda yok) Emir yolu</t>
  </si>
  <si>
    <t xml:space="preserve">maosdk-&gt;ownsAccount(account) → doğrudan BIST / değilse 127.0.0.1:8008</t>
  </si>
  <si>
    <t xml:space="preserve">Hesap devredilen oturumun listesindeyse emir doğrudan borsaya, değilse emir servisi üzerinden gider; yedek yolda uyarı yok (TC-HFT-R19).</t>
  </si>
  <si>
    <t xml:space="preserve">01-mimari.md 'MAHft Emir — iki yol'</t>
  </si>
  <si>
    <t xml:space="preserve">P31</t>
  </si>
  <si>
    <t xml:space="preserve">(Ekranda yok) Kimlik alanları</t>
  </si>
  <si>
    <t xml:space="preserve">Strategy_Type = 4, Account, Strategy_Id, Unique_Key / Strategy_Unique_Key, Orderbook_Id</t>
  </si>
  <si>
    <t xml:space="preserve">uniqueKey biçimi {enstrüman}_{hesap}_{stratejiId}_4; log satırları bu önekle başlar.</t>
  </si>
  <si>
    <t xml:space="preserve">Ekran: OBS:350-357, 392-395</t>
  </si>
  <si>
    <t xml:space="preserve">Açılır listelerin kaynağı. Seçenek eklemek için sütunun altına yaz.</t>
  </si>
  <si>
    <t xml:space="preserve">Test Ediliyor</t>
  </si>
  <si>
    <t xml:space="preserve">Customer</t>
  </si>
  <si>
    <t xml:space="preserve">Bloke</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</si>
</sst>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6"/>
      <color theme="0"/>
      <name val="Arial"/>
      <family val="2"/>
      <charset val="162"/>
    </font>
    <font>
      <b val="true"/>
      <sz val="10"/>
      <name val="Arial"/>
      <family val="0"/>
      <charset val="1"/>
    </font>
    <font>
      <sz val="10"/>
      <name val="Arial"/>
      <family val="0"/>
      <charset val="1"/>
    </font>
    <font>
      <b val="true"/>
      <sz val="10"/>
      <color rgb="FFFFFFFF"/>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sz val="10"/>
      <name val="Arial"/>
      <family val="2"/>
      <charset val="162"/>
    </font>
    <font>
      <b val="true"/>
      <sz val="13"/>
      <color theme="6" tint="-0.25"/>
      <name val="Arial"/>
      <family val="2"/>
      <charset val="162"/>
    </font>
    <font>
      <i val="true"/>
      <sz val="9"/>
      <color rgb="FF808080"/>
      <name val="Arial"/>
      <family val="0"/>
      <charset val="1"/>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1F4E79"/>
      </patternFill>
    </fill>
    <fill>
      <patternFill patternType="solid">
        <fgColor rgb="FFEAF1F8"/>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center" textRotation="0" wrapText="true" indent="1"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1" shrinkToFit="false"/>
      <protection locked="true" hidden="false"/>
    </xf>
    <xf numFmtId="164" fontId="9" fillId="6" borderId="1" xfId="0" applyFont="true" applyBorder="true" applyAlignment="true" applyProtection="false">
      <alignment horizontal="left" vertical="center" textRotation="0" wrapText="true" indent="1" shrinkToFit="false"/>
      <protection locked="true" hidden="false"/>
    </xf>
    <xf numFmtId="164" fontId="10" fillId="6" borderId="1" xfId="0" applyFont="true" applyBorder="true" applyAlignment="true" applyProtection="false">
      <alignment horizontal="left" vertical="center" textRotation="0" wrapText="true" indent="1"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1"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6">
    <dxf>
      <fill>
        <patternFill patternType="solid">
          <fgColor rgb="FF92D050"/>
          <bgColor rgb="FF000000"/>
        </patternFill>
      </fill>
    </dxf>
    <dxf>
      <fill>
        <patternFill patternType="solid">
          <bgColor rgb="FF000000"/>
        </patternFill>
      </fill>
    </dxf>
    <dxf>
      <fill>
        <patternFill patternType="solid">
          <fgColor rgb="FFFFFFFF"/>
          <bgColor rgb="FF000000"/>
        </patternFill>
      </fill>
    </dxf>
    <dxf>
      <fill>
        <patternFill patternType="solid">
          <fgColor rgb="FFFCE4E4"/>
          <bgColor rgb="FF000000"/>
        </patternFill>
      </fill>
    </dxf>
    <dxf>
      <fill>
        <patternFill patternType="solid">
          <fgColor rgb="FF9C0006"/>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5B2C8D"/>
        <sz val="10"/>
      </font>
      <fill>
        <patternFill>
          <bgColor rgb="FFE4D9F2"/>
        </patternFill>
      </fill>
    </dxf>
    <dxf>
      <font>
        <name val="Arial"/>
        <charset val="1"/>
        <family val="0"/>
        <b val="1"/>
        <color rgb="FF7F6000"/>
        <sz val="10"/>
      </font>
      <fill>
        <patternFill>
          <bgColor rgb="FFFFE699"/>
        </patternFill>
      </fill>
    </dxf>
    <dxf>
      <font>
        <name val="Arial"/>
        <charset val="1"/>
        <family val="0"/>
        <b val="1"/>
        <color rgb="FF9C0006"/>
        <sz val="10"/>
      </font>
      <fill>
        <patternFill>
          <bgColor rgb="FFFCE4E4"/>
        </patternFill>
      </fill>
    </dxf>
    <dxf>
      <fill>
        <patternFill patternType="solid">
          <fgColor rgb="FFFCE4D6"/>
          <bgColor rgb="FF000000"/>
        </patternFill>
      </fill>
    </dxf>
    <dxf>
      <fill>
        <patternFill patternType="solid">
          <fgColor rgb="FFFFC7CE"/>
          <bgColor rgb="FF000000"/>
        </patternFill>
      </fill>
    </dxf>
    <dxf>
      <fill>
        <patternFill patternType="solid">
          <fgColor rgb="FFFFE699"/>
          <bgColor rgb="FF000000"/>
        </patternFill>
      </fill>
    </dxf>
    <dxf>
      <fill>
        <patternFill patternType="solid">
          <fgColor rgb="FF7F6000"/>
          <bgColor rgb="FF000000"/>
        </patternFill>
      </fill>
    </dxf>
    <dxf>
      <fill>
        <patternFill patternType="solid">
          <fgColor rgb="FFC65911"/>
          <bgColor rgb="FF000000"/>
        </patternFill>
      </fill>
    </dxf>
    <dxf>
      <font>
        <b val="1"/>
        <color rgb="FF9C0006"/>
      </font>
      <fill>
        <patternFill>
          <bgColor rgb="FFFFC7CE"/>
        </patternFill>
      </fill>
    </dxf>
    <dxf>
      <font>
        <b val="1"/>
        <color rgb="FFC65911"/>
      </font>
      <fill>
        <patternFill>
          <bgColor rgb="FFFCE4D6"/>
        </patternFill>
      </fill>
    </dxf>
    <dxf>
      <font>
        <b val="1"/>
        <color rgb="FF7F6000"/>
      </font>
      <fill>
        <patternFill>
          <bgColor rgb="FFFFE699"/>
        </patternFill>
      </fill>
    </dxf>
    <dxf>
      <fill>
        <patternFill patternType="solid">
          <fgColor rgb="FFC6EFCE"/>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006100"/>
          <bgColor rgb="FF000000"/>
        </patternFill>
      </fill>
    </dxf>
    <dxf>
      <fill>
        <patternFill patternType="solid">
          <fgColor rgb="FF1F4E79"/>
          <bgColor rgb="FF000000"/>
        </patternFill>
      </fill>
    </dxf>
    <dxf>
      <fill>
        <patternFill patternType="solid">
          <fgColor rgb="FF595959"/>
          <bgColor rgb="FF000000"/>
        </patternFill>
      </fill>
    </dxf>
    <dxf>
      <font>
        <name val="Arial"/>
        <charset val="1"/>
        <family val="0"/>
        <b val="1"/>
        <color rgb="FF595959"/>
        <sz val="10"/>
      </font>
      <fill>
        <patternFill>
          <bgColor rgb="FFD9D9D9"/>
        </patternFill>
      </fill>
    </dxf>
    <dxf>
      <font>
        <name val="Arial"/>
        <charset val="1"/>
        <family val="0"/>
        <b val="1"/>
        <color rgb="FF1F4E79"/>
        <sz val="10"/>
      </font>
      <fill>
        <patternFill>
          <bgColor rgb="FFDDEBF7"/>
        </patternFill>
      </fill>
    </dxf>
  </dxfs>
  <colors>
    <indexedColors>
      <rgbColor rgb="FF000000"/>
      <rgbColor rgb="FFFFFFFF"/>
      <rgbColor rgb="FFFF0000"/>
      <rgbColor rgb="FF00FF00"/>
      <rgbColor rgb="FF0000FF"/>
      <rgbColor rgb="FFF2F2F2"/>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DDEBF7"/>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EAF1F8"/>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1F4E79"/>
      <rgbColor rgb="FF339966"/>
      <rgbColor rgb="FF003300"/>
      <rgbColor rgb="FF333300"/>
      <rgbColor rgb="FF993300"/>
      <rgbColor rgb="FF993366"/>
      <rgbColor rgb="FF5B2C8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24"/>
    <col collapsed="false" customWidth="true" hidden="false" outlineLevel="0" max="4" min="4" style="0" width="34"/>
    <col collapsed="false" customWidth="true" hidden="false" outlineLevel="0" max="5" min="5" style="0" width="30"/>
    <col collapsed="false" customWidth="true" hidden="false" outlineLevel="0" max="6" min="6" style="0" width="52"/>
    <col collapsed="false" customWidth="true" hidden="false" outlineLevel="0" max="7" min="7" style="0" width="48"/>
    <col collapsed="false" customWidth="true" hidden="false" outlineLevel="0" max="8" min="8" style="0" width="30"/>
    <col collapsed="false" customWidth="true" hidden="false" outlineLevel="0" max="9" min="9" style="0" width="34"/>
    <col collapsed="false" customWidth="true" hidden="false" outlineLevel="0" max="10" min="10" style="0" width="13"/>
    <col collapsed="false" customWidth="true" hidden="false" outlineLevel="0" max="11" min="11" style="0" width="10"/>
    <col collapsed="false" customWidth="true" hidden="false" outlineLevel="0" max="12" min="12" style="0" width="54"/>
    <col collapsed="false" customWidth="true" hidden="false" outlineLevel="0" max="13" min="13" style="0" width="14"/>
  </cols>
  <sheetData>
    <row r="1" customFormat="false" ht="21.75" hidden="false" customHeight="true" outlineLevel="0" collapsed="false">
      <c r="A1" s="1" t="s">
        <v>0</v>
      </c>
      <c r="B1" s="1"/>
      <c r="C1" s="2" t="s">
        <v>1</v>
      </c>
      <c r="D1" s="3" t="s">
        <v>2</v>
      </c>
      <c r="E1" s="2" t="s">
        <v>3</v>
      </c>
      <c r="F1" s="4"/>
      <c r="G1" s="5" t="s">
        <v>4</v>
      </c>
    </row>
    <row r="2" customFormat="false" ht="21.75" hidden="false" customHeight="true" outlineLevel="0" collapsed="false">
      <c r="A2" s="1"/>
      <c r="B2" s="1"/>
      <c r="C2" s="2" t="s">
        <v>5</v>
      </c>
      <c r="D2" s="3" t="s">
        <v>6</v>
      </c>
      <c r="E2" s="2" t="s">
        <v>7</v>
      </c>
      <c r="F2" s="4"/>
      <c r="G2" s="2" t="s">
        <v>8</v>
      </c>
      <c r="H2" s="6" t="n">
        <f aca="false">COUNTA($A$20:$A$400)</f>
        <v>8</v>
      </c>
    </row>
    <row r="3" customFormat="false" ht="21.75" hidden="false" customHeight="true" outlineLevel="0" collapsed="false">
      <c r="A3" s="1"/>
      <c r="B3" s="1"/>
      <c r="C3" s="2" t="s">
        <v>9</v>
      </c>
      <c r="D3" s="3" t="s">
        <v>10</v>
      </c>
      <c r="E3" s="2" t="s">
        <v>11</v>
      </c>
      <c r="F3" s="4"/>
      <c r="G3" s="2" t="s">
        <v>12</v>
      </c>
      <c r="H3" s="6" t="n">
        <f aca="false">COUNTIF($B$20:$B$400,"Başarılı")</f>
        <v>0</v>
      </c>
    </row>
    <row r="4" customFormat="false" ht="21.75" hidden="false" customHeight="true" outlineLevel="0" collapsed="false">
      <c r="A4" s="1"/>
      <c r="B4" s="1"/>
      <c r="C4" s="2" t="s">
        <v>13</v>
      </c>
      <c r="D4" s="3" t="s">
        <v>14</v>
      </c>
      <c r="E4" s="2" t="s">
        <v>15</v>
      </c>
      <c r="F4" s="4"/>
      <c r="G4" s="2" t="s">
        <v>16</v>
      </c>
      <c r="H4" s="6" t="n">
        <f aca="false">COUNTIF($B$20:$B$400,"Başarısız")</f>
        <v>0</v>
      </c>
    </row>
    <row r="6" customFormat="false" ht="45" hidden="false" customHeight="true" outlineLevel="0" collapsed="false">
      <c r="A6" s="2" t="s">
        <v>17</v>
      </c>
      <c r="B6" s="2"/>
      <c r="C6" s="3" t="s">
        <v>18</v>
      </c>
      <c r="D6" s="3"/>
      <c r="E6" s="3"/>
      <c r="F6" s="3"/>
      <c r="G6" s="3"/>
      <c r="H6" s="3"/>
    </row>
    <row r="7" customFormat="false" ht="25.5" hidden="false" customHeight="true" outlineLevel="0" collapsed="false">
      <c r="A7" s="2" t="s">
        <v>19</v>
      </c>
      <c r="B7" s="2"/>
      <c r="C7" s="3" t="s">
        <v>20</v>
      </c>
      <c r="D7" s="3"/>
      <c r="E7" s="3"/>
      <c r="F7" s="3"/>
      <c r="G7" s="3"/>
      <c r="H7" s="3"/>
    </row>
    <row r="8" customFormat="false" ht="45" hidden="false" customHeight="true" outlineLevel="0" collapsed="false">
      <c r="A8" s="2" t="s">
        <v>21</v>
      </c>
      <c r="B8" s="2"/>
      <c r="C8" s="3" t="s">
        <v>22</v>
      </c>
      <c r="D8" s="3"/>
      <c r="E8" s="3"/>
      <c r="F8" s="3"/>
      <c r="G8" s="3"/>
      <c r="H8" s="3"/>
    </row>
    <row r="10" customFormat="false" ht="15" hidden="false" customHeight="true" outlineLevel="0" collapsed="false">
      <c r="A10" s="7" t="s">
        <v>23</v>
      </c>
      <c r="B10" s="7"/>
      <c r="C10" s="7"/>
      <c r="D10" s="7"/>
      <c r="E10" s="7"/>
      <c r="F10" s="7"/>
      <c r="G10" s="7"/>
      <c r="H10" s="7"/>
      <c r="I10" s="7"/>
      <c r="J10" s="7"/>
      <c r="K10" s="7"/>
      <c r="L10" s="7"/>
      <c r="M10" s="7"/>
    </row>
    <row r="11" customFormat="false" ht="35.25" hidden="false" customHeight="true" outlineLevel="0" collapsed="false">
      <c r="A11" s="8" t="s">
        <v>24</v>
      </c>
      <c r="B11" s="8"/>
      <c r="C11" s="9" t="s">
        <v>25</v>
      </c>
      <c r="D11" s="9"/>
      <c r="E11" s="9"/>
      <c r="F11" s="9"/>
      <c r="G11" s="9"/>
      <c r="H11" s="9"/>
      <c r="I11" s="9"/>
      <c r="J11" s="9"/>
      <c r="K11" s="9"/>
      <c r="L11" s="9"/>
      <c r="M11" s="9"/>
    </row>
    <row r="12" customFormat="false" ht="35.25" hidden="false" customHeight="true" outlineLevel="0" collapsed="false">
      <c r="A12" s="8" t="s">
        <v>26</v>
      </c>
      <c r="B12" s="8"/>
      <c r="C12" s="9" t="s">
        <v>27</v>
      </c>
      <c r="D12" s="9"/>
      <c r="E12" s="9"/>
      <c r="F12" s="9"/>
      <c r="G12" s="9"/>
      <c r="H12" s="9"/>
      <c r="I12" s="9"/>
      <c r="J12" s="9"/>
      <c r="K12" s="9"/>
      <c r="L12" s="9"/>
      <c r="M12" s="9"/>
    </row>
    <row r="13" customFormat="false" ht="35.25" hidden="false" customHeight="true" outlineLevel="0" collapsed="false">
      <c r="A13" s="8" t="s">
        <v>28</v>
      </c>
      <c r="B13" s="8"/>
      <c r="C13" s="9" t="s">
        <v>29</v>
      </c>
      <c r="D13" s="9"/>
      <c r="E13" s="9"/>
      <c r="F13" s="9"/>
      <c r="G13" s="9"/>
      <c r="H13" s="9"/>
      <c r="I13" s="9"/>
      <c r="J13" s="9"/>
      <c r="K13" s="9"/>
      <c r="L13" s="9"/>
      <c r="M13" s="9"/>
    </row>
    <row r="14" customFormat="false" ht="35.25" hidden="false" customHeight="true" outlineLevel="0" collapsed="false">
      <c r="A14" s="8" t="s">
        <v>30</v>
      </c>
      <c r="B14" s="8"/>
      <c r="C14" s="9" t="s">
        <v>31</v>
      </c>
      <c r="D14" s="9"/>
      <c r="E14" s="9"/>
      <c r="F14" s="9"/>
      <c r="G14" s="9"/>
      <c r="H14" s="9"/>
      <c r="I14" s="9"/>
      <c r="J14" s="9"/>
      <c r="K14" s="9"/>
      <c r="L14" s="9"/>
      <c r="M14" s="9"/>
    </row>
    <row r="15" customFormat="false" ht="35.25" hidden="false" customHeight="true" outlineLevel="0" collapsed="false">
      <c r="A15" s="8" t="s">
        <v>32</v>
      </c>
      <c r="B15" s="8"/>
      <c r="C15" s="9" t="s">
        <v>33</v>
      </c>
      <c r="D15" s="9"/>
      <c r="E15" s="9"/>
      <c r="F15" s="9"/>
      <c r="G15" s="9"/>
      <c r="H15" s="9"/>
      <c r="I15" s="9"/>
      <c r="J15" s="9"/>
      <c r="K15" s="9"/>
      <c r="L15" s="9"/>
      <c r="M15" s="9"/>
    </row>
    <row r="16" customFormat="false" ht="35.25" hidden="false" customHeight="true" outlineLevel="0" collapsed="false">
      <c r="A16" s="8" t="s">
        <v>34</v>
      </c>
      <c r="B16" s="8"/>
      <c r="C16" s="9" t="s">
        <v>35</v>
      </c>
      <c r="D16" s="9"/>
      <c r="E16" s="9"/>
      <c r="F16" s="9"/>
      <c r="G16" s="9"/>
      <c r="H16" s="9"/>
      <c r="I16" s="9"/>
      <c r="J16" s="9"/>
      <c r="K16" s="9"/>
      <c r="L16" s="9"/>
      <c r="M16" s="9"/>
    </row>
    <row r="19" customFormat="false" ht="25.5" hidden="false" customHeight="true" outlineLevel="0" collapsed="false">
      <c r="A19" s="10" t="s">
        <v>36</v>
      </c>
      <c r="B19" s="10" t="s">
        <v>37</v>
      </c>
      <c r="C19" s="10" t="s">
        <v>38</v>
      </c>
      <c r="D19" s="10" t="s">
        <v>39</v>
      </c>
      <c r="E19" s="10" t="s">
        <v>40</v>
      </c>
      <c r="F19" s="10" t="s">
        <v>41</v>
      </c>
      <c r="G19" s="10" t="s">
        <v>42</v>
      </c>
      <c r="H19" s="10" t="s">
        <v>43</v>
      </c>
      <c r="I19" s="10" t="s">
        <v>44</v>
      </c>
      <c r="J19" s="10" t="s">
        <v>45</v>
      </c>
      <c r="K19" s="10" t="s">
        <v>46</v>
      </c>
      <c r="L19" s="10" t="s">
        <v>47</v>
      </c>
      <c r="M19" s="10" t="s">
        <v>48</v>
      </c>
    </row>
    <row r="20" customFormat="false" ht="136.5" hidden="false" customHeight="true" outlineLevel="0" collapsed="false">
      <c r="A20" s="11" t="s">
        <v>49</v>
      </c>
      <c r="B20" s="12" t="s">
        <v>50</v>
      </c>
      <c r="C20" s="13" t="s">
        <v>51</v>
      </c>
      <c r="D20" s="13" t="s">
        <v>52</v>
      </c>
      <c r="E20" s="13" t="s">
        <v>53</v>
      </c>
      <c r="F20" s="14" t="s">
        <v>54</v>
      </c>
      <c r="G20" s="13" t="s">
        <v>55</v>
      </c>
      <c r="H20" s="13"/>
      <c r="I20" s="13" t="s">
        <v>56</v>
      </c>
      <c r="J20" s="12" t="s">
        <v>57</v>
      </c>
      <c r="K20" s="12" t="s">
        <v>58</v>
      </c>
      <c r="L20" s="14" t="s">
        <v>59</v>
      </c>
      <c r="M20" s="15"/>
    </row>
    <row r="21" customFormat="false" ht="98.25" hidden="false" customHeight="true" outlineLevel="0" collapsed="false">
      <c r="A21" s="11" t="s">
        <v>60</v>
      </c>
      <c r="B21" s="12" t="s">
        <v>50</v>
      </c>
      <c r="C21" s="13" t="s">
        <v>51</v>
      </c>
      <c r="D21" s="13" t="s">
        <v>61</v>
      </c>
      <c r="E21" s="13" t="s">
        <v>62</v>
      </c>
      <c r="F21" s="14" t="s">
        <v>63</v>
      </c>
      <c r="G21" s="13" t="s">
        <v>64</v>
      </c>
      <c r="H21" s="13"/>
      <c r="I21" s="13" t="s">
        <v>65</v>
      </c>
      <c r="J21" s="12" t="s">
        <v>57</v>
      </c>
      <c r="K21" s="12" t="s">
        <v>58</v>
      </c>
      <c r="L21" s="14" t="s">
        <v>66</v>
      </c>
      <c r="M21" s="15"/>
    </row>
    <row r="22" customFormat="false" ht="111" hidden="false" customHeight="true" outlineLevel="0" collapsed="false">
      <c r="A22" s="11" t="s">
        <v>67</v>
      </c>
      <c r="B22" s="12" t="s">
        <v>50</v>
      </c>
      <c r="C22" s="13" t="s">
        <v>51</v>
      </c>
      <c r="D22" s="13" t="s">
        <v>68</v>
      </c>
      <c r="E22" s="13" t="s">
        <v>69</v>
      </c>
      <c r="F22" s="14" t="s">
        <v>70</v>
      </c>
      <c r="G22" s="13" t="s">
        <v>71</v>
      </c>
      <c r="H22" s="13"/>
      <c r="I22" s="13" t="s">
        <v>72</v>
      </c>
      <c r="J22" s="12" t="s">
        <v>57</v>
      </c>
      <c r="K22" s="12" t="s">
        <v>58</v>
      </c>
      <c r="L22" s="14" t="s">
        <v>73</v>
      </c>
      <c r="M22" s="15"/>
    </row>
    <row r="23" customFormat="false" ht="123.75" hidden="false" customHeight="true" outlineLevel="0" collapsed="false">
      <c r="A23" s="11" t="s">
        <v>74</v>
      </c>
      <c r="B23" s="12" t="s">
        <v>50</v>
      </c>
      <c r="C23" s="13" t="s">
        <v>51</v>
      </c>
      <c r="D23" s="13" t="s">
        <v>75</v>
      </c>
      <c r="E23" s="13" t="s">
        <v>76</v>
      </c>
      <c r="F23" s="14" t="s">
        <v>77</v>
      </c>
      <c r="G23" s="13" t="s">
        <v>78</v>
      </c>
      <c r="H23" s="13"/>
      <c r="I23" s="13" t="s">
        <v>79</v>
      </c>
      <c r="J23" s="12" t="s">
        <v>57</v>
      </c>
      <c r="K23" s="12" t="s">
        <v>58</v>
      </c>
      <c r="L23" s="14" t="s">
        <v>80</v>
      </c>
      <c r="M23" s="15"/>
    </row>
    <row r="24" customFormat="false" ht="98.25" hidden="false" customHeight="true" outlineLevel="0" collapsed="false">
      <c r="A24" s="11" t="s">
        <v>81</v>
      </c>
      <c r="B24" s="12" t="s">
        <v>50</v>
      </c>
      <c r="C24" s="13" t="s">
        <v>51</v>
      </c>
      <c r="D24" s="13" t="s">
        <v>82</v>
      </c>
      <c r="E24" s="13" t="s">
        <v>83</v>
      </c>
      <c r="F24" s="14" t="s">
        <v>84</v>
      </c>
      <c r="G24" s="13" t="s">
        <v>85</v>
      </c>
      <c r="H24" s="13"/>
      <c r="I24" s="13" t="s">
        <v>86</v>
      </c>
      <c r="J24" s="12" t="s">
        <v>57</v>
      </c>
      <c r="K24" s="12" t="s">
        <v>58</v>
      </c>
      <c r="L24" s="14" t="s">
        <v>87</v>
      </c>
      <c r="M24" s="15"/>
    </row>
    <row r="25" customFormat="false" ht="98.25" hidden="false" customHeight="true" outlineLevel="0" collapsed="false">
      <c r="A25" s="11" t="s">
        <v>88</v>
      </c>
      <c r="B25" s="12" t="s">
        <v>50</v>
      </c>
      <c r="C25" s="13" t="s">
        <v>51</v>
      </c>
      <c r="D25" s="13" t="s">
        <v>89</v>
      </c>
      <c r="E25" s="13" t="s">
        <v>90</v>
      </c>
      <c r="F25" s="14" t="s">
        <v>91</v>
      </c>
      <c r="G25" s="13" t="s">
        <v>92</v>
      </c>
      <c r="H25" s="13"/>
      <c r="I25" s="13" t="s">
        <v>93</v>
      </c>
      <c r="J25" s="12" t="s">
        <v>57</v>
      </c>
      <c r="K25" s="12" t="s">
        <v>58</v>
      </c>
      <c r="L25" s="14" t="s">
        <v>94</v>
      </c>
      <c r="M25" s="15"/>
    </row>
    <row r="26" customFormat="false" ht="59.25" hidden="false" customHeight="true" outlineLevel="0" collapsed="false">
      <c r="A26" s="11" t="s">
        <v>95</v>
      </c>
      <c r="B26" s="12" t="s">
        <v>50</v>
      </c>
      <c r="C26" s="13" t="s">
        <v>51</v>
      </c>
      <c r="D26" s="13" t="s">
        <v>96</v>
      </c>
      <c r="E26" s="13" t="s">
        <v>97</v>
      </c>
      <c r="F26" s="14" t="s">
        <v>98</v>
      </c>
      <c r="G26" s="13" t="s">
        <v>99</v>
      </c>
      <c r="H26" s="13"/>
      <c r="I26" s="13" t="s">
        <v>100</v>
      </c>
      <c r="J26" s="12" t="s">
        <v>101</v>
      </c>
      <c r="K26" s="12" t="s">
        <v>102</v>
      </c>
      <c r="L26" s="14" t="s">
        <v>103</v>
      </c>
      <c r="M26" s="15"/>
    </row>
    <row r="27" customFormat="false" ht="136.5" hidden="false" customHeight="true" outlineLevel="0" collapsed="false">
      <c r="A27" s="11" t="s">
        <v>104</v>
      </c>
      <c r="B27" s="12" t="s">
        <v>50</v>
      </c>
      <c r="C27" s="13" t="s">
        <v>51</v>
      </c>
      <c r="D27" s="13" t="s">
        <v>105</v>
      </c>
      <c r="E27" s="13" t="s">
        <v>106</v>
      </c>
      <c r="F27" s="14" t="s">
        <v>107</v>
      </c>
      <c r="G27" s="13" t="s">
        <v>108</v>
      </c>
      <c r="H27" s="13"/>
      <c r="I27" s="13" t="s">
        <v>109</v>
      </c>
      <c r="J27" s="12" t="s">
        <v>110</v>
      </c>
      <c r="K27" s="12" t="s">
        <v>102</v>
      </c>
      <c r="L27" s="14" t="s">
        <v>111</v>
      </c>
      <c r="M27" s="15"/>
    </row>
  </sheetData>
  <autoFilter ref="A19:M27"/>
  <mergeCells count="20">
    <mergeCell ref="A1:B4"/>
    <mergeCell ref="A6:B6"/>
    <mergeCell ref="C6:H6"/>
    <mergeCell ref="A7:B7"/>
    <mergeCell ref="C7:H7"/>
    <mergeCell ref="A8:B8"/>
    <mergeCell ref="C8:H8"/>
    <mergeCell ref="A10:M10"/>
    <mergeCell ref="A11:B11"/>
    <mergeCell ref="C11:M11"/>
    <mergeCell ref="A12:B12"/>
    <mergeCell ref="C12:M12"/>
    <mergeCell ref="A13:B13"/>
    <mergeCell ref="C13:M13"/>
    <mergeCell ref="A14:B14"/>
    <mergeCell ref="C14:M14"/>
    <mergeCell ref="A15:B15"/>
    <mergeCell ref="C15:M15"/>
    <mergeCell ref="A16:B16"/>
    <mergeCell ref="C16:M16"/>
  </mergeCells>
  <conditionalFormatting sqref="B20:B400">
    <cfRule type="cellIs" priority="2" operator="equal" aboveAverage="0" equalAverage="0" bottom="0" percent="0" rank="0" text="" dxfId="5">
      <formula>"Başarılı"</formula>
    </cfRule>
    <cfRule type="cellIs" priority="3" operator="equal" aboveAverage="0" equalAverage="0" bottom="0" percent="0" rank="0" text="" dxfId="6">
      <formula>"Başarısız"</formula>
    </cfRule>
    <cfRule type="cellIs" priority="4" operator="equal" aboveAverage="0" equalAverage="0" bottom="0" percent="0" rank="0" text="" dxfId="7">
      <formula>"Test Ediliyor"</formula>
    </cfRule>
    <cfRule type="cellIs" priority="5" operator="equal" aboveAverage="0" equalAverage="0" bottom="0" percent="0" rank="0" text="" dxfId="8">
      <formula>"Bloke"</formula>
    </cfRule>
  </conditionalFormatting>
  <conditionalFormatting sqref="K20:K400">
    <cfRule type="cellIs" priority="6" operator="equal" aboveAverage="0" equalAverage="0" bottom="0" percent="0" rank="0" text="" dxfId="9">
      <formula>"Yüksek"</formula>
    </cfRule>
  </conditionalFormatting>
  <dataValidations count="3">
    <dataValidation allowBlank="true" errorStyle="stop" operator="between" showDropDown="false" showErrorMessage="false" showInputMessage="false" sqref="B20:B400" type="list">
      <formula1>Listeler!$A$2:$A$10</formula1>
      <formula2>0</formula2>
    </dataValidation>
    <dataValidation allowBlank="true" errorStyle="stop" operator="between" showDropDown="false" showErrorMessage="false" showInputMessage="false" sqref="J20:J400" type="list">
      <formula1>Listeler!$B$2:$B$10</formula1>
      <formula2>0</formula2>
    </dataValidation>
    <dataValidation allowBlank="true" errorStyle="stop" operator="between" showDropDown="false" showErrorMessage="false" showInputMessage="false" sqref="K20:K400" type="list">
      <formula1>Listeler!$C$2:$C$10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24"/>
    <col collapsed="false" customWidth="true" hidden="false" outlineLevel="0" max="5" min="4" style="0" width="34"/>
    <col collapsed="false" customWidth="true" hidden="false" outlineLevel="0" max="6" min="6" style="0" width="54"/>
    <col collapsed="false" customWidth="true" hidden="false" outlineLevel="0" max="7" min="7" style="0" width="48"/>
    <col collapsed="false" customWidth="true" hidden="false" outlineLevel="0" max="8" min="8" style="0" width="30"/>
    <col collapsed="false" customWidth="true" hidden="false" outlineLevel="0" max="9" min="9" style="0" width="36"/>
    <col collapsed="false" customWidth="true" hidden="false" outlineLevel="0" max="10" min="10" style="0" width="13"/>
    <col collapsed="false" customWidth="true" hidden="false" outlineLevel="0" max="11" min="11" style="0" width="10"/>
    <col collapsed="false" customWidth="true" hidden="false" outlineLevel="0" max="12" min="12" style="0" width="56"/>
    <col collapsed="false" customWidth="true" hidden="false" outlineLevel="0" max="13" min="13" style="0" width="14"/>
  </cols>
  <sheetData>
    <row r="1" customFormat="false" ht="21.75" hidden="false" customHeight="true" outlineLevel="0" collapsed="false">
      <c r="A1" s="1" t="s">
        <v>0</v>
      </c>
      <c r="B1" s="1"/>
      <c r="C1" s="2" t="s">
        <v>1</v>
      </c>
      <c r="D1" s="3" t="s">
        <v>2</v>
      </c>
      <c r="E1" s="2" t="s">
        <v>3</v>
      </c>
      <c r="F1" s="4"/>
      <c r="G1" s="5" t="s">
        <v>4</v>
      </c>
    </row>
    <row r="2" customFormat="false" ht="21.75" hidden="false" customHeight="true" outlineLevel="0" collapsed="false">
      <c r="A2" s="1"/>
      <c r="B2" s="1"/>
      <c r="C2" s="2" t="s">
        <v>5</v>
      </c>
      <c r="D2" s="3" t="s">
        <v>6</v>
      </c>
      <c r="E2" s="2" t="s">
        <v>7</v>
      </c>
      <c r="F2" s="4"/>
      <c r="G2" s="2" t="s">
        <v>8</v>
      </c>
      <c r="H2" s="6" t="n">
        <f aca="false">COUNTA($A$19:$A$400)</f>
        <v>57</v>
      </c>
    </row>
    <row r="3" customFormat="false" ht="21.75" hidden="false" customHeight="true" outlineLevel="0" collapsed="false">
      <c r="A3" s="1"/>
      <c r="B3" s="1"/>
      <c r="C3" s="2" t="s">
        <v>9</v>
      </c>
      <c r="D3" s="3" t="s">
        <v>112</v>
      </c>
      <c r="E3" s="2" t="s">
        <v>11</v>
      </c>
      <c r="F3" s="4"/>
      <c r="G3" s="2" t="s">
        <v>12</v>
      </c>
      <c r="H3" s="6" t="n">
        <f aca="false">COUNTIF($B$19:$B$400,"Başarılı")</f>
        <v>0</v>
      </c>
    </row>
    <row r="4" customFormat="false" ht="21.75" hidden="false" customHeight="true" outlineLevel="0" collapsed="false">
      <c r="A4" s="1"/>
      <c r="B4" s="1"/>
      <c r="C4" s="2" t="s">
        <v>13</v>
      </c>
      <c r="D4" s="3" t="s">
        <v>14</v>
      </c>
      <c r="E4" s="2" t="s">
        <v>15</v>
      </c>
      <c r="F4" s="4"/>
      <c r="G4" s="2" t="s">
        <v>16</v>
      </c>
      <c r="H4" s="6" t="n">
        <f aca="false">COUNTIF($B$19:$B$400,"Başarısız")</f>
        <v>0</v>
      </c>
    </row>
    <row r="6" customFormat="false" ht="45" hidden="false" customHeight="true" outlineLevel="0" collapsed="false">
      <c r="A6" s="2" t="s">
        <v>17</v>
      </c>
      <c r="B6" s="2"/>
      <c r="C6" s="3" t="s">
        <v>18</v>
      </c>
      <c r="D6" s="3"/>
      <c r="E6" s="3"/>
      <c r="F6" s="3"/>
      <c r="G6" s="3"/>
      <c r="H6" s="3"/>
    </row>
    <row r="7" customFormat="false" ht="25.5" hidden="false" customHeight="true" outlineLevel="0" collapsed="false">
      <c r="A7" s="2" t="s">
        <v>19</v>
      </c>
      <c r="B7" s="2"/>
      <c r="C7" s="3" t="s">
        <v>20</v>
      </c>
      <c r="D7" s="3"/>
      <c r="E7" s="3"/>
      <c r="F7" s="3"/>
      <c r="G7" s="3"/>
      <c r="H7" s="3"/>
    </row>
    <row r="8" customFormat="false" ht="45" hidden="false" customHeight="true" outlineLevel="0" collapsed="false">
      <c r="A8" s="2" t="s">
        <v>21</v>
      </c>
      <c r="B8" s="2"/>
      <c r="C8" s="3" t="s">
        <v>113</v>
      </c>
      <c r="D8" s="3"/>
      <c r="E8" s="3"/>
      <c r="F8" s="3"/>
      <c r="G8" s="3"/>
      <c r="H8" s="3"/>
    </row>
    <row r="10" customFormat="false" ht="15" hidden="false" customHeight="true" outlineLevel="0" collapsed="false">
      <c r="A10" s="7" t="s">
        <v>23</v>
      </c>
      <c r="B10" s="7"/>
      <c r="C10" s="7"/>
      <c r="D10" s="7"/>
      <c r="E10" s="7"/>
      <c r="F10" s="7"/>
      <c r="G10" s="7"/>
      <c r="H10" s="7"/>
      <c r="I10" s="7"/>
      <c r="J10" s="7"/>
      <c r="K10" s="7"/>
      <c r="L10" s="7"/>
      <c r="M10" s="7"/>
    </row>
    <row r="11" customFormat="false" ht="48" hidden="false" customHeight="true" outlineLevel="0" collapsed="false">
      <c r="A11" s="8" t="s">
        <v>114</v>
      </c>
      <c r="B11" s="8"/>
      <c r="C11" s="9" t="s">
        <v>115</v>
      </c>
      <c r="D11" s="9"/>
      <c r="E11" s="9"/>
      <c r="F11" s="9"/>
      <c r="G11" s="9"/>
      <c r="H11" s="9"/>
      <c r="I11" s="9"/>
      <c r="J11" s="9"/>
      <c r="K11" s="9"/>
      <c r="L11" s="9"/>
      <c r="M11" s="9"/>
    </row>
    <row r="12" customFormat="false" ht="35.25" hidden="false" customHeight="true" outlineLevel="0" collapsed="false">
      <c r="A12" s="8" t="s">
        <v>116</v>
      </c>
      <c r="B12" s="8"/>
      <c r="C12" s="9" t="s">
        <v>117</v>
      </c>
      <c r="D12" s="9"/>
      <c r="E12" s="9"/>
      <c r="F12" s="9"/>
      <c r="G12" s="9"/>
      <c r="H12" s="9"/>
      <c r="I12" s="9"/>
      <c r="J12" s="9"/>
      <c r="K12" s="9"/>
      <c r="L12" s="9"/>
      <c r="M12" s="9"/>
    </row>
    <row r="13" customFormat="false" ht="30" hidden="false" customHeight="true" outlineLevel="0" collapsed="false">
      <c r="A13" s="8" t="s">
        <v>118</v>
      </c>
      <c r="B13" s="8"/>
      <c r="C13" s="9" t="s">
        <v>119</v>
      </c>
      <c r="D13" s="9"/>
      <c r="E13" s="9"/>
      <c r="F13" s="9"/>
      <c r="G13" s="9"/>
      <c r="H13" s="9"/>
      <c r="I13" s="9"/>
      <c r="J13" s="9"/>
      <c r="K13" s="9"/>
      <c r="L13" s="9"/>
      <c r="M13" s="9"/>
    </row>
    <row r="14" customFormat="false" ht="35.25" hidden="false" customHeight="true" outlineLevel="0" collapsed="false">
      <c r="A14" s="8" t="s">
        <v>120</v>
      </c>
      <c r="B14" s="8"/>
      <c r="C14" s="9" t="s">
        <v>121</v>
      </c>
      <c r="D14" s="9"/>
      <c r="E14" s="9"/>
      <c r="F14" s="9"/>
      <c r="G14" s="9"/>
      <c r="H14" s="9"/>
      <c r="I14" s="9"/>
      <c r="J14" s="9"/>
      <c r="K14" s="9"/>
      <c r="L14" s="9"/>
      <c r="M14" s="9"/>
    </row>
    <row r="15" customFormat="false" ht="35.25" hidden="false" customHeight="true" outlineLevel="0" collapsed="false">
      <c r="A15" s="8" t="s">
        <v>122</v>
      </c>
      <c r="B15" s="8"/>
      <c r="C15" s="9" t="s">
        <v>123</v>
      </c>
      <c r="D15" s="9"/>
      <c r="E15" s="9"/>
      <c r="F15" s="9"/>
      <c r="G15" s="9"/>
      <c r="H15" s="9"/>
      <c r="I15" s="9"/>
      <c r="J15" s="9"/>
      <c r="K15" s="9"/>
      <c r="L15" s="9"/>
      <c r="M15" s="9"/>
    </row>
    <row r="18" customFormat="false" ht="25.5" hidden="false" customHeight="true" outlineLevel="0" collapsed="false">
      <c r="A18" s="10" t="s">
        <v>36</v>
      </c>
      <c r="B18" s="10" t="s">
        <v>37</v>
      </c>
      <c r="C18" s="10" t="s">
        <v>38</v>
      </c>
      <c r="D18" s="10" t="s">
        <v>39</v>
      </c>
      <c r="E18" s="10" t="s">
        <v>40</v>
      </c>
      <c r="F18" s="10" t="s">
        <v>41</v>
      </c>
      <c r="G18" s="10" t="s">
        <v>42</v>
      </c>
      <c r="H18" s="10" t="s">
        <v>43</v>
      </c>
      <c r="I18" s="10" t="s">
        <v>44</v>
      </c>
      <c r="J18" s="10" t="s">
        <v>45</v>
      </c>
      <c r="K18" s="10" t="s">
        <v>46</v>
      </c>
      <c r="L18" s="10" t="s">
        <v>47</v>
      </c>
      <c r="M18" s="10" t="s">
        <v>48</v>
      </c>
    </row>
    <row r="19" customFormat="false" ht="123.75" hidden="false" customHeight="true" outlineLevel="0" collapsed="false">
      <c r="A19" s="11" t="s">
        <v>124</v>
      </c>
      <c r="B19" s="12" t="s">
        <v>50</v>
      </c>
      <c r="C19" s="13" t="s">
        <v>125</v>
      </c>
      <c r="D19" s="13" t="s">
        <v>126</v>
      </c>
      <c r="E19" s="14" t="s">
        <v>127</v>
      </c>
      <c r="F19" s="14" t="s">
        <v>128</v>
      </c>
      <c r="G19" s="14" t="s">
        <v>129</v>
      </c>
      <c r="H19" s="13"/>
      <c r="I19" s="13" t="s">
        <v>130</v>
      </c>
      <c r="J19" s="12" t="s">
        <v>110</v>
      </c>
      <c r="K19" s="12" t="s">
        <v>58</v>
      </c>
      <c r="L19" s="14" t="s">
        <v>131</v>
      </c>
      <c r="M19" s="15"/>
    </row>
    <row r="20" customFormat="false" ht="98.25" hidden="false" customHeight="true" outlineLevel="0" collapsed="false">
      <c r="A20" s="11" t="s">
        <v>132</v>
      </c>
      <c r="B20" s="12" t="s">
        <v>50</v>
      </c>
      <c r="C20" s="13" t="s">
        <v>125</v>
      </c>
      <c r="D20" s="13" t="s">
        <v>133</v>
      </c>
      <c r="E20" s="14" t="s">
        <v>134</v>
      </c>
      <c r="F20" s="14" t="s">
        <v>135</v>
      </c>
      <c r="G20" s="14" t="s">
        <v>136</v>
      </c>
      <c r="H20" s="13"/>
      <c r="I20" s="13" t="s">
        <v>137</v>
      </c>
      <c r="J20" s="12" t="s">
        <v>110</v>
      </c>
      <c r="K20" s="12" t="s">
        <v>58</v>
      </c>
      <c r="L20" s="14" t="s">
        <v>138</v>
      </c>
      <c r="M20" s="15"/>
    </row>
    <row r="21" customFormat="false" ht="111" hidden="false" customHeight="true" outlineLevel="0" collapsed="false">
      <c r="A21" s="11" t="s">
        <v>139</v>
      </c>
      <c r="B21" s="12" t="s">
        <v>50</v>
      </c>
      <c r="C21" s="13" t="s">
        <v>125</v>
      </c>
      <c r="D21" s="13" t="s">
        <v>140</v>
      </c>
      <c r="E21" s="14" t="s">
        <v>141</v>
      </c>
      <c r="F21" s="14" t="s">
        <v>142</v>
      </c>
      <c r="G21" s="14" t="s">
        <v>143</v>
      </c>
      <c r="H21" s="13"/>
      <c r="I21" s="13" t="s">
        <v>144</v>
      </c>
      <c r="J21" s="12" t="s">
        <v>110</v>
      </c>
      <c r="K21" s="12" t="s">
        <v>58</v>
      </c>
      <c r="L21" s="14" t="s">
        <v>145</v>
      </c>
      <c r="M21" s="15"/>
    </row>
    <row r="22" customFormat="false" ht="72" hidden="false" customHeight="true" outlineLevel="0" collapsed="false">
      <c r="A22" s="11" t="s">
        <v>146</v>
      </c>
      <c r="B22" s="12" t="s">
        <v>50</v>
      </c>
      <c r="C22" s="13" t="s">
        <v>125</v>
      </c>
      <c r="D22" s="13" t="s">
        <v>147</v>
      </c>
      <c r="E22" s="14" t="s">
        <v>148</v>
      </c>
      <c r="F22" s="14" t="s">
        <v>149</v>
      </c>
      <c r="G22" s="14" t="s">
        <v>150</v>
      </c>
      <c r="H22" s="13"/>
      <c r="I22" s="13" t="s">
        <v>151</v>
      </c>
      <c r="J22" s="12" t="s">
        <v>110</v>
      </c>
      <c r="K22" s="12" t="s">
        <v>58</v>
      </c>
      <c r="L22" s="14" t="s">
        <v>152</v>
      </c>
      <c r="M22" s="15"/>
    </row>
    <row r="23" customFormat="false" ht="98.25" hidden="false" customHeight="true" outlineLevel="0" collapsed="false">
      <c r="A23" s="11" t="s">
        <v>153</v>
      </c>
      <c r="B23" s="12" t="s">
        <v>50</v>
      </c>
      <c r="C23" s="13" t="s">
        <v>125</v>
      </c>
      <c r="D23" s="13" t="s">
        <v>154</v>
      </c>
      <c r="E23" s="14" t="s">
        <v>155</v>
      </c>
      <c r="F23" s="14" t="s">
        <v>156</v>
      </c>
      <c r="G23" s="14" t="s">
        <v>157</v>
      </c>
      <c r="H23" s="13"/>
      <c r="I23" s="13" t="s">
        <v>158</v>
      </c>
      <c r="J23" s="12" t="s">
        <v>110</v>
      </c>
      <c r="K23" s="12" t="s">
        <v>58</v>
      </c>
      <c r="L23" s="14" t="s">
        <v>159</v>
      </c>
      <c r="M23" s="15"/>
    </row>
    <row r="24" customFormat="false" ht="136.5" hidden="false" customHeight="true" outlineLevel="0" collapsed="false">
      <c r="A24" s="11" t="s">
        <v>160</v>
      </c>
      <c r="B24" s="12" t="s">
        <v>50</v>
      </c>
      <c r="C24" s="13" t="s">
        <v>125</v>
      </c>
      <c r="D24" s="13" t="s">
        <v>161</v>
      </c>
      <c r="E24" s="14" t="s">
        <v>162</v>
      </c>
      <c r="F24" s="14" t="s">
        <v>163</v>
      </c>
      <c r="G24" s="14" t="s">
        <v>164</v>
      </c>
      <c r="H24" s="13"/>
      <c r="I24" s="13" t="s">
        <v>165</v>
      </c>
      <c r="J24" s="12" t="s">
        <v>110</v>
      </c>
      <c r="K24" s="12" t="s">
        <v>58</v>
      </c>
      <c r="L24" s="14" t="s">
        <v>166</v>
      </c>
      <c r="M24" s="15"/>
    </row>
    <row r="25" customFormat="false" ht="111" hidden="false" customHeight="true" outlineLevel="0" collapsed="false">
      <c r="A25" s="11" t="s">
        <v>167</v>
      </c>
      <c r="B25" s="12" t="s">
        <v>50</v>
      </c>
      <c r="C25" s="13" t="s">
        <v>125</v>
      </c>
      <c r="D25" s="13" t="s">
        <v>168</v>
      </c>
      <c r="E25" s="14" t="s">
        <v>169</v>
      </c>
      <c r="F25" s="14" t="s">
        <v>170</v>
      </c>
      <c r="G25" s="14" t="s">
        <v>171</v>
      </c>
      <c r="H25" s="13"/>
      <c r="I25" s="13" t="s">
        <v>172</v>
      </c>
      <c r="J25" s="12" t="s">
        <v>110</v>
      </c>
      <c r="K25" s="12" t="s">
        <v>58</v>
      </c>
      <c r="L25" s="14" t="s">
        <v>173</v>
      </c>
      <c r="M25" s="15"/>
    </row>
    <row r="26" customFormat="false" ht="72" hidden="false" customHeight="true" outlineLevel="0" collapsed="false">
      <c r="A26" s="11" t="s">
        <v>174</v>
      </c>
      <c r="B26" s="12" t="s">
        <v>50</v>
      </c>
      <c r="C26" s="13" t="s">
        <v>125</v>
      </c>
      <c r="D26" s="13" t="s">
        <v>175</v>
      </c>
      <c r="E26" s="14" t="s">
        <v>176</v>
      </c>
      <c r="F26" s="14" t="s">
        <v>177</v>
      </c>
      <c r="G26" s="14" t="s">
        <v>178</v>
      </c>
      <c r="H26" s="13"/>
      <c r="I26" s="13" t="s">
        <v>179</v>
      </c>
      <c r="J26" s="12" t="s">
        <v>110</v>
      </c>
      <c r="K26" s="12" t="s">
        <v>102</v>
      </c>
      <c r="L26" s="14" t="s">
        <v>180</v>
      </c>
      <c r="M26" s="15"/>
    </row>
    <row r="27" customFormat="false" ht="98.25" hidden="false" customHeight="true" outlineLevel="0" collapsed="false">
      <c r="A27" s="11" t="s">
        <v>181</v>
      </c>
      <c r="B27" s="12" t="s">
        <v>50</v>
      </c>
      <c r="C27" s="13" t="s">
        <v>125</v>
      </c>
      <c r="D27" s="13" t="s">
        <v>182</v>
      </c>
      <c r="E27" s="14" t="s">
        <v>183</v>
      </c>
      <c r="F27" s="14" t="s">
        <v>184</v>
      </c>
      <c r="G27" s="14" t="s">
        <v>185</v>
      </c>
      <c r="H27" s="13"/>
      <c r="I27" s="13" t="s">
        <v>186</v>
      </c>
      <c r="J27" s="12" t="s">
        <v>110</v>
      </c>
      <c r="K27" s="12" t="s">
        <v>58</v>
      </c>
      <c r="L27" s="14" t="s">
        <v>187</v>
      </c>
      <c r="M27" s="15"/>
    </row>
    <row r="28" customFormat="false" ht="162.75" hidden="false" customHeight="true" outlineLevel="0" collapsed="false">
      <c r="A28" s="11" t="s">
        <v>188</v>
      </c>
      <c r="B28" s="12" t="s">
        <v>50</v>
      </c>
      <c r="C28" s="13" t="s">
        <v>125</v>
      </c>
      <c r="D28" s="13" t="s">
        <v>189</v>
      </c>
      <c r="E28" s="14" t="s">
        <v>190</v>
      </c>
      <c r="F28" s="14" t="s">
        <v>191</v>
      </c>
      <c r="G28" s="14" t="s">
        <v>192</v>
      </c>
      <c r="H28" s="13"/>
      <c r="I28" s="13" t="s">
        <v>193</v>
      </c>
      <c r="J28" s="12" t="s">
        <v>110</v>
      </c>
      <c r="K28" s="12" t="s">
        <v>58</v>
      </c>
      <c r="L28" s="14" t="s">
        <v>194</v>
      </c>
      <c r="M28" s="15"/>
    </row>
    <row r="29" customFormat="false" ht="72" hidden="false" customHeight="true" outlineLevel="0" collapsed="false">
      <c r="A29" s="11" t="s">
        <v>195</v>
      </c>
      <c r="B29" s="12" t="s">
        <v>50</v>
      </c>
      <c r="C29" s="13" t="s">
        <v>125</v>
      </c>
      <c r="D29" s="13" t="s">
        <v>196</v>
      </c>
      <c r="E29" s="14" t="s">
        <v>197</v>
      </c>
      <c r="F29" s="14" t="s">
        <v>198</v>
      </c>
      <c r="G29" s="14" t="s">
        <v>199</v>
      </c>
      <c r="H29" s="13"/>
      <c r="I29" s="13" t="s">
        <v>200</v>
      </c>
      <c r="J29" s="12" t="s">
        <v>110</v>
      </c>
      <c r="K29" s="12" t="s">
        <v>58</v>
      </c>
      <c r="L29" s="14" t="s">
        <v>201</v>
      </c>
      <c r="M29" s="15"/>
    </row>
    <row r="30" customFormat="false" ht="59.25" hidden="false" customHeight="true" outlineLevel="0" collapsed="false">
      <c r="A30" s="11" t="s">
        <v>202</v>
      </c>
      <c r="B30" s="12" t="s">
        <v>50</v>
      </c>
      <c r="C30" s="13" t="s">
        <v>125</v>
      </c>
      <c r="D30" s="13" t="s">
        <v>203</v>
      </c>
      <c r="E30" s="14" t="s">
        <v>204</v>
      </c>
      <c r="F30" s="14" t="s">
        <v>205</v>
      </c>
      <c r="G30" s="14" t="s">
        <v>206</v>
      </c>
      <c r="H30" s="13"/>
      <c r="I30" s="13" t="s">
        <v>207</v>
      </c>
      <c r="J30" s="12" t="s">
        <v>110</v>
      </c>
      <c r="K30" s="12" t="s">
        <v>58</v>
      </c>
      <c r="L30" s="14" t="s">
        <v>208</v>
      </c>
      <c r="M30" s="15"/>
    </row>
    <row r="31" customFormat="false" ht="72" hidden="false" customHeight="true" outlineLevel="0" collapsed="false">
      <c r="A31" s="11" t="s">
        <v>209</v>
      </c>
      <c r="B31" s="12" t="s">
        <v>50</v>
      </c>
      <c r="C31" s="13" t="s">
        <v>125</v>
      </c>
      <c r="D31" s="13" t="s">
        <v>210</v>
      </c>
      <c r="E31" s="14" t="s">
        <v>211</v>
      </c>
      <c r="F31" s="14" t="s">
        <v>212</v>
      </c>
      <c r="G31" s="14" t="s">
        <v>213</v>
      </c>
      <c r="H31" s="13"/>
      <c r="I31" s="13" t="s">
        <v>214</v>
      </c>
      <c r="J31" s="12" t="s">
        <v>110</v>
      </c>
      <c r="K31" s="12" t="s">
        <v>102</v>
      </c>
      <c r="L31" s="14" t="s">
        <v>215</v>
      </c>
      <c r="M31" s="15"/>
    </row>
    <row r="32" customFormat="false" ht="72" hidden="false" customHeight="true" outlineLevel="0" collapsed="false">
      <c r="A32" s="11" t="s">
        <v>216</v>
      </c>
      <c r="B32" s="12" t="s">
        <v>50</v>
      </c>
      <c r="C32" s="13" t="s">
        <v>125</v>
      </c>
      <c r="D32" s="13" t="s">
        <v>217</v>
      </c>
      <c r="E32" s="14" t="s">
        <v>218</v>
      </c>
      <c r="F32" s="14" t="s">
        <v>219</v>
      </c>
      <c r="G32" s="14" t="s">
        <v>220</v>
      </c>
      <c r="H32" s="13"/>
      <c r="I32" s="13" t="s">
        <v>221</v>
      </c>
      <c r="J32" s="12" t="s">
        <v>110</v>
      </c>
      <c r="K32" s="12" t="s">
        <v>102</v>
      </c>
      <c r="L32" s="14" t="s">
        <v>222</v>
      </c>
      <c r="M32" s="15"/>
    </row>
    <row r="33" customFormat="false" ht="175.5" hidden="false" customHeight="true" outlineLevel="0" collapsed="false">
      <c r="A33" s="11" t="s">
        <v>223</v>
      </c>
      <c r="B33" s="12" t="s">
        <v>50</v>
      </c>
      <c r="C33" s="13" t="s">
        <v>224</v>
      </c>
      <c r="D33" s="13" t="s">
        <v>225</v>
      </c>
      <c r="E33" s="14" t="s">
        <v>226</v>
      </c>
      <c r="F33" s="14" t="s">
        <v>227</v>
      </c>
      <c r="G33" s="14" t="s">
        <v>228</v>
      </c>
      <c r="H33" s="13"/>
      <c r="I33" s="13" t="s">
        <v>229</v>
      </c>
      <c r="J33" s="12" t="s">
        <v>110</v>
      </c>
      <c r="K33" s="12" t="s">
        <v>58</v>
      </c>
      <c r="L33" s="14" t="s">
        <v>230</v>
      </c>
      <c r="M33" s="15"/>
    </row>
    <row r="34" customFormat="false" ht="162.75" hidden="false" customHeight="true" outlineLevel="0" collapsed="false">
      <c r="A34" s="11" t="s">
        <v>231</v>
      </c>
      <c r="B34" s="12" t="s">
        <v>50</v>
      </c>
      <c r="C34" s="13" t="s">
        <v>224</v>
      </c>
      <c r="D34" s="13" t="s">
        <v>232</v>
      </c>
      <c r="E34" s="14" t="s">
        <v>233</v>
      </c>
      <c r="F34" s="14" t="s">
        <v>234</v>
      </c>
      <c r="G34" s="14" t="s">
        <v>235</v>
      </c>
      <c r="H34" s="13"/>
      <c r="I34" s="13" t="s">
        <v>236</v>
      </c>
      <c r="J34" s="12" t="s">
        <v>110</v>
      </c>
      <c r="K34" s="12" t="s">
        <v>58</v>
      </c>
      <c r="L34" s="14" t="s">
        <v>237</v>
      </c>
      <c r="M34" s="15"/>
    </row>
    <row r="35" customFormat="false" ht="72" hidden="false" customHeight="true" outlineLevel="0" collapsed="false">
      <c r="A35" s="11" t="s">
        <v>238</v>
      </c>
      <c r="B35" s="12" t="s">
        <v>50</v>
      </c>
      <c r="C35" s="13" t="s">
        <v>224</v>
      </c>
      <c r="D35" s="13" t="s">
        <v>239</v>
      </c>
      <c r="E35" s="14" t="s">
        <v>240</v>
      </c>
      <c r="F35" s="14" t="s">
        <v>241</v>
      </c>
      <c r="G35" s="14" t="s">
        <v>242</v>
      </c>
      <c r="H35" s="13"/>
      <c r="I35" s="13" t="s">
        <v>243</v>
      </c>
      <c r="J35" s="12" t="s">
        <v>110</v>
      </c>
      <c r="K35" s="12" t="s">
        <v>102</v>
      </c>
      <c r="L35" s="14" t="s">
        <v>244</v>
      </c>
      <c r="M35" s="15"/>
    </row>
    <row r="36" customFormat="false" ht="136.5" hidden="false" customHeight="true" outlineLevel="0" collapsed="false">
      <c r="A36" s="11" t="s">
        <v>245</v>
      </c>
      <c r="B36" s="12" t="s">
        <v>50</v>
      </c>
      <c r="C36" s="13" t="s">
        <v>224</v>
      </c>
      <c r="D36" s="13" t="s">
        <v>246</v>
      </c>
      <c r="E36" s="14" t="s">
        <v>247</v>
      </c>
      <c r="F36" s="14" t="s">
        <v>248</v>
      </c>
      <c r="G36" s="14" t="s">
        <v>249</v>
      </c>
      <c r="H36" s="13"/>
      <c r="I36" s="13" t="s">
        <v>250</v>
      </c>
      <c r="J36" s="12" t="s">
        <v>110</v>
      </c>
      <c r="K36" s="12" t="s">
        <v>102</v>
      </c>
      <c r="L36" s="14" t="s">
        <v>251</v>
      </c>
      <c r="M36" s="15"/>
    </row>
    <row r="37" customFormat="false" ht="98.25" hidden="false" customHeight="true" outlineLevel="0" collapsed="false">
      <c r="A37" s="11" t="s">
        <v>252</v>
      </c>
      <c r="B37" s="12" t="s">
        <v>50</v>
      </c>
      <c r="C37" s="13" t="s">
        <v>224</v>
      </c>
      <c r="D37" s="13" t="s">
        <v>253</v>
      </c>
      <c r="E37" s="14" t="s">
        <v>254</v>
      </c>
      <c r="F37" s="14" t="s">
        <v>255</v>
      </c>
      <c r="G37" s="14" t="s">
        <v>256</v>
      </c>
      <c r="H37" s="13"/>
      <c r="I37" s="13" t="s">
        <v>257</v>
      </c>
      <c r="J37" s="12" t="s">
        <v>110</v>
      </c>
      <c r="K37" s="12" t="s">
        <v>102</v>
      </c>
      <c r="L37" s="14" t="s">
        <v>258</v>
      </c>
      <c r="M37" s="15"/>
    </row>
    <row r="38" customFormat="false" ht="98.25" hidden="false" customHeight="true" outlineLevel="0" collapsed="false">
      <c r="A38" s="11" t="s">
        <v>259</v>
      </c>
      <c r="B38" s="12" t="s">
        <v>50</v>
      </c>
      <c r="C38" s="13" t="s">
        <v>224</v>
      </c>
      <c r="D38" s="13" t="s">
        <v>260</v>
      </c>
      <c r="E38" s="14" t="s">
        <v>261</v>
      </c>
      <c r="F38" s="14" t="s">
        <v>262</v>
      </c>
      <c r="G38" s="14" t="s">
        <v>263</v>
      </c>
      <c r="H38" s="13"/>
      <c r="I38" s="13" t="s">
        <v>264</v>
      </c>
      <c r="J38" s="12" t="s">
        <v>110</v>
      </c>
      <c r="K38" s="12" t="s">
        <v>102</v>
      </c>
      <c r="L38" s="14" t="s">
        <v>265</v>
      </c>
      <c r="M38" s="15"/>
    </row>
    <row r="39" customFormat="false" ht="72" hidden="false" customHeight="true" outlineLevel="0" collapsed="false">
      <c r="A39" s="11" t="s">
        <v>266</v>
      </c>
      <c r="B39" s="12" t="s">
        <v>50</v>
      </c>
      <c r="C39" s="13" t="s">
        <v>224</v>
      </c>
      <c r="D39" s="13" t="s">
        <v>267</v>
      </c>
      <c r="E39" s="14" t="s">
        <v>268</v>
      </c>
      <c r="F39" s="14" t="s">
        <v>269</v>
      </c>
      <c r="G39" s="14" t="s">
        <v>270</v>
      </c>
      <c r="H39" s="13"/>
      <c r="I39" s="13" t="s">
        <v>271</v>
      </c>
      <c r="J39" s="12" t="s">
        <v>110</v>
      </c>
      <c r="K39" s="12" t="s">
        <v>272</v>
      </c>
      <c r="L39" s="14" t="s">
        <v>273</v>
      </c>
      <c r="M39" s="15"/>
    </row>
    <row r="40" customFormat="false" ht="72" hidden="false" customHeight="true" outlineLevel="0" collapsed="false">
      <c r="A40" s="11" t="s">
        <v>274</v>
      </c>
      <c r="B40" s="12" t="s">
        <v>50</v>
      </c>
      <c r="C40" s="13" t="s">
        <v>224</v>
      </c>
      <c r="D40" s="13" t="s">
        <v>275</v>
      </c>
      <c r="E40" s="14" t="s">
        <v>276</v>
      </c>
      <c r="F40" s="14" t="s">
        <v>277</v>
      </c>
      <c r="G40" s="14" t="s">
        <v>278</v>
      </c>
      <c r="H40" s="13"/>
      <c r="I40" s="13" t="s">
        <v>279</v>
      </c>
      <c r="J40" s="12" t="s">
        <v>110</v>
      </c>
      <c r="K40" s="12" t="s">
        <v>102</v>
      </c>
      <c r="L40" s="14" t="s">
        <v>280</v>
      </c>
      <c r="M40" s="15"/>
    </row>
    <row r="41" customFormat="false" ht="111" hidden="false" customHeight="true" outlineLevel="0" collapsed="false">
      <c r="A41" s="11" t="s">
        <v>281</v>
      </c>
      <c r="B41" s="12" t="s">
        <v>50</v>
      </c>
      <c r="C41" s="13" t="s">
        <v>224</v>
      </c>
      <c r="D41" s="13" t="s">
        <v>282</v>
      </c>
      <c r="E41" s="14" t="s">
        <v>283</v>
      </c>
      <c r="F41" s="14" t="s">
        <v>284</v>
      </c>
      <c r="G41" s="14" t="s">
        <v>285</v>
      </c>
      <c r="H41" s="13"/>
      <c r="I41" s="13" t="s">
        <v>286</v>
      </c>
      <c r="J41" s="12" t="s">
        <v>110</v>
      </c>
      <c r="K41" s="12" t="s">
        <v>272</v>
      </c>
      <c r="L41" s="14" t="s">
        <v>287</v>
      </c>
      <c r="M41" s="15"/>
    </row>
    <row r="42" customFormat="false" ht="84.75" hidden="false" customHeight="true" outlineLevel="0" collapsed="false">
      <c r="A42" s="11" t="s">
        <v>288</v>
      </c>
      <c r="B42" s="12" t="s">
        <v>50</v>
      </c>
      <c r="C42" s="13" t="s">
        <v>224</v>
      </c>
      <c r="D42" s="13" t="s">
        <v>289</v>
      </c>
      <c r="E42" s="14" t="s">
        <v>290</v>
      </c>
      <c r="F42" s="14" t="s">
        <v>291</v>
      </c>
      <c r="G42" s="14" t="s">
        <v>292</v>
      </c>
      <c r="H42" s="13"/>
      <c r="I42" s="13" t="s">
        <v>293</v>
      </c>
      <c r="J42" s="12" t="s">
        <v>110</v>
      </c>
      <c r="K42" s="12" t="s">
        <v>58</v>
      </c>
      <c r="L42" s="14" t="s">
        <v>294</v>
      </c>
      <c r="M42" s="15"/>
    </row>
    <row r="43" customFormat="false" ht="98.25" hidden="false" customHeight="true" outlineLevel="0" collapsed="false">
      <c r="A43" s="11" t="s">
        <v>295</v>
      </c>
      <c r="B43" s="12" t="s">
        <v>50</v>
      </c>
      <c r="C43" s="13" t="s">
        <v>224</v>
      </c>
      <c r="D43" s="13" t="s">
        <v>296</v>
      </c>
      <c r="E43" s="14" t="s">
        <v>297</v>
      </c>
      <c r="F43" s="14" t="s">
        <v>298</v>
      </c>
      <c r="G43" s="14" t="s">
        <v>299</v>
      </c>
      <c r="H43" s="13"/>
      <c r="I43" s="13" t="s">
        <v>300</v>
      </c>
      <c r="J43" s="12" t="s">
        <v>110</v>
      </c>
      <c r="K43" s="12" t="s">
        <v>58</v>
      </c>
      <c r="L43" s="14" t="s">
        <v>301</v>
      </c>
      <c r="M43" s="15"/>
    </row>
    <row r="44" customFormat="false" ht="149.25" hidden="false" customHeight="true" outlineLevel="0" collapsed="false">
      <c r="A44" s="11" t="s">
        <v>302</v>
      </c>
      <c r="B44" s="12" t="s">
        <v>50</v>
      </c>
      <c r="C44" s="13" t="s">
        <v>303</v>
      </c>
      <c r="D44" s="13" t="s">
        <v>304</v>
      </c>
      <c r="E44" s="14" t="s">
        <v>305</v>
      </c>
      <c r="F44" s="14" t="s">
        <v>306</v>
      </c>
      <c r="G44" s="14" t="s">
        <v>307</v>
      </c>
      <c r="H44" s="13"/>
      <c r="I44" s="13" t="s">
        <v>264</v>
      </c>
      <c r="J44" s="12" t="s">
        <v>110</v>
      </c>
      <c r="K44" s="12" t="s">
        <v>58</v>
      </c>
      <c r="L44" s="14" t="s">
        <v>308</v>
      </c>
      <c r="M44" s="15"/>
    </row>
    <row r="45" customFormat="false" ht="84.75" hidden="false" customHeight="true" outlineLevel="0" collapsed="false">
      <c r="A45" s="11" t="s">
        <v>309</v>
      </c>
      <c r="B45" s="12" t="s">
        <v>50</v>
      </c>
      <c r="C45" s="13" t="s">
        <v>303</v>
      </c>
      <c r="D45" s="13" t="s">
        <v>310</v>
      </c>
      <c r="E45" s="14" t="s">
        <v>311</v>
      </c>
      <c r="F45" s="14" t="s">
        <v>312</v>
      </c>
      <c r="G45" s="14" t="s">
        <v>313</v>
      </c>
      <c r="H45" s="13"/>
      <c r="I45" s="13" t="s">
        <v>314</v>
      </c>
      <c r="J45" s="12" t="s">
        <v>110</v>
      </c>
      <c r="K45" s="12" t="s">
        <v>58</v>
      </c>
      <c r="L45" s="14" t="s">
        <v>315</v>
      </c>
      <c r="M45" s="15"/>
    </row>
    <row r="46" customFormat="false" ht="149.25" hidden="false" customHeight="true" outlineLevel="0" collapsed="false">
      <c r="A46" s="11" t="s">
        <v>316</v>
      </c>
      <c r="B46" s="12" t="s">
        <v>50</v>
      </c>
      <c r="C46" s="13" t="s">
        <v>303</v>
      </c>
      <c r="D46" s="13" t="s">
        <v>317</v>
      </c>
      <c r="E46" s="14" t="s">
        <v>318</v>
      </c>
      <c r="F46" s="14" t="s">
        <v>319</v>
      </c>
      <c r="G46" s="14" t="s">
        <v>320</v>
      </c>
      <c r="H46" s="13"/>
      <c r="I46" s="13" t="s">
        <v>321</v>
      </c>
      <c r="J46" s="12" t="s">
        <v>110</v>
      </c>
      <c r="K46" s="12" t="s">
        <v>102</v>
      </c>
      <c r="L46" s="14" t="s">
        <v>322</v>
      </c>
      <c r="M46" s="15"/>
    </row>
    <row r="47" customFormat="false" ht="84.75" hidden="false" customHeight="true" outlineLevel="0" collapsed="false">
      <c r="A47" s="11" t="s">
        <v>323</v>
      </c>
      <c r="B47" s="12" t="s">
        <v>50</v>
      </c>
      <c r="C47" s="13" t="s">
        <v>303</v>
      </c>
      <c r="D47" s="13" t="s">
        <v>324</v>
      </c>
      <c r="E47" s="14" t="s">
        <v>325</v>
      </c>
      <c r="F47" s="14" t="s">
        <v>326</v>
      </c>
      <c r="G47" s="14" t="s">
        <v>327</v>
      </c>
      <c r="H47" s="13"/>
      <c r="I47" s="13" t="s">
        <v>328</v>
      </c>
      <c r="J47" s="12" t="s">
        <v>110</v>
      </c>
      <c r="K47" s="12" t="s">
        <v>58</v>
      </c>
      <c r="L47" s="14" t="s">
        <v>329</v>
      </c>
      <c r="M47" s="15"/>
    </row>
    <row r="48" customFormat="false" ht="111" hidden="false" customHeight="true" outlineLevel="0" collapsed="false">
      <c r="A48" s="11" t="s">
        <v>330</v>
      </c>
      <c r="B48" s="12" t="s">
        <v>50</v>
      </c>
      <c r="C48" s="13" t="s">
        <v>303</v>
      </c>
      <c r="D48" s="13" t="s">
        <v>331</v>
      </c>
      <c r="E48" s="14" t="s">
        <v>332</v>
      </c>
      <c r="F48" s="14" t="s">
        <v>333</v>
      </c>
      <c r="G48" s="14" t="s">
        <v>334</v>
      </c>
      <c r="H48" s="13"/>
      <c r="I48" s="13" t="s">
        <v>335</v>
      </c>
      <c r="J48" s="12" t="s">
        <v>110</v>
      </c>
      <c r="K48" s="12" t="s">
        <v>102</v>
      </c>
      <c r="L48" s="14" t="s">
        <v>336</v>
      </c>
      <c r="M48" s="15"/>
    </row>
    <row r="49" customFormat="false" ht="98.25" hidden="false" customHeight="true" outlineLevel="0" collapsed="false">
      <c r="A49" s="11" t="s">
        <v>337</v>
      </c>
      <c r="B49" s="12" t="s">
        <v>50</v>
      </c>
      <c r="C49" s="13" t="s">
        <v>303</v>
      </c>
      <c r="D49" s="13" t="s">
        <v>338</v>
      </c>
      <c r="E49" s="14" t="s">
        <v>339</v>
      </c>
      <c r="F49" s="14" t="s">
        <v>340</v>
      </c>
      <c r="G49" s="14" t="s">
        <v>341</v>
      </c>
      <c r="H49" s="13"/>
      <c r="I49" s="13" t="s">
        <v>342</v>
      </c>
      <c r="J49" s="12" t="s">
        <v>110</v>
      </c>
      <c r="K49" s="12" t="s">
        <v>102</v>
      </c>
      <c r="L49" s="14" t="s">
        <v>343</v>
      </c>
      <c r="M49" s="15"/>
    </row>
    <row r="50" customFormat="false" ht="59.25" hidden="false" customHeight="true" outlineLevel="0" collapsed="false">
      <c r="A50" s="11" t="s">
        <v>344</v>
      </c>
      <c r="B50" s="12" t="s">
        <v>50</v>
      </c>
      <c r="C50" s="13" t="s">
        <v>345</v>
      </c>
      <c r="D50" s="13" t="s">
        <v>346</v>
      </c>
      <c r="E50" s="14" t="s">
        <v>347</v>
      </c>
      <c r="F50" s="14" t="s">
        <v>348</v>
      </c>
      <c r="G50" s="14" t="s">
        <v>349</v>
      </c>
      <c r="H50" s="13"/>
      <c r="I50" s="13" t="s">
        <v>350</v>
      </c>
      <c r="J50" s="12" t="s">
        <v>110</v>
      </c>
      <c r="K50" s="12" t="s">
        <v>58</v>
      </c>
      <c r="L50" s="14" t="s">
        <v>351</v>
      </c>
      <c r="M50" s="15"/>
    </row>
    <row r="51" customFormat="false" ht="84.75" hidden="false" customHeight="true" outlineLevel="0" collapsed="false">
      <c r="A51" s="11" t="s">
        <v>352</v>
      </c>
      <c r="B51" s="12" t="s">
        <v>50</v>
      </c>
      <c r="C51" s="13" t="s">
        <v>345</v>
      </c>
      <c r="D51" s="13" t="s">
        <v>353</v>
      </c>
      <c r="E51" s="14" t="s">
        <v>354</v>
      </c>
      <c r="F51" s="14" t="s">
        <v>355</v>
      </c>
      <c r="G51" s="14" t="s">
        <v>356</v>
      </c>
      <c r="H51" s="13"/>
      <c r="I51" s="13" t="s">
        <v>357</v>
      </c>
      <c r="J51" s="12" t="s">
        <v>110</v>
      </c>
      <c r="K51" s="12" t="s">
        <v>102</v>
      </c>
      <c r="L51" s="14" t="s">
        <v>358</v>
      </c>
      <c r="M51" s="15"/>
    </row>
    <row r="52" customFormat="false" ht="59.25" hidden="false" customHeight="true" outlineLevel="0" collapsed="false">
      <c r="A52" s="11" t="s">
        <v>359</v>
      </c>
      <c r="B52" s="12" t="s">
        <v>50</v>
      </c>
      <c r="C52" s="13" t="s">
        <v>345</v>
      </c>
      <c r="D52" s="13" t="s">
        <v>360</v>
      </c>
      <c r="E52" s="14" t="s">
        <v>361</v>
      </c>
      <c r="F52" s="14" t="s">
        <v>362</v>
      </c>
      <c r="G52" s="14" t="s">
        <v>363</v>
      </c>
      <c r="H52" s="13"/>
      <c r="I52" s="13" t="s">
        <v>364</v>
      </c>
      <c r="J52" s="12" t="s">
        <v>110</v>
      </c>
      <c r="K52" s="12" t="s">
        <v>102</v>
      </c>
      <c r="L52" s="14" t="s">
        <v>365</v>
      </c>
      <c r="M52" s="15"/>
    </row>
    <row r="53" customFormat="false" ht="72" hidden="false" customHeight="true" outlineLevel="0" collapsed="false">
      <c r="A53" s="11" t="s">
        <v>366</v>
      </c>
      <c r="B53" s="12" t="s">
        <v>50</v>
      </c>
      <c r="C53" s="13" t="s">
        <v>345</v>
      </c>
      <c r="D53" s="13" t="s">
        <v>367</v>
      </c>
      <c r="E53" s="14" t="s">
        <v>368</v>
      </c>
      <c r="F53" s="14" t="s">
        <v>369</v>
      </c>
      <c r="G53" s="14" t="s">
        <v>370</v>
      </c>
      <c r="H53" s="13"/>
      <c r="I53" s="13" t="s">
        <v>371</v>
      </c>
      <c r="J53" s="12" t="s">
        <v>57</v>
      </c>
      <c r="K53" s="12" t="s">
        <v>272</v>
      </c>
      <c r="L53" s="14" t="s">
        <v>372</v>
      </c>
      <c r="M53" s="15"/>
    </row>
    <row r="54" customFormat="false" ht="72" hidden="false" customHeight="true" outlineLevel="0" collapsed="false">
      <c r="A54" s="11" t="s">
        <v>373</v>
      </c>
      <c r="B54" s="12" t="s">
        <v>50</v>
      </c>
      <c r="C54" s="13" t="s">
        <v>374</v>
      </c>
      <c r="D54" s="13" t="s">
        <v>375</v>
      </c>
      <c r="E54" s="14" t="s">
        <v>376</v>
      </c>
      <c r="F54" s="14" t="s">
        <v>377</v>
      </c>
      <c r="G54" s="14" t="s">
        <v>378</v>
      </c>
      <c r="H54" s="13"/>
      <c r="I54" s="13" t="s">
        <v>379</v>
      </c>
      <c r="J54" s="12" t="s">
        <v>110</v>
      </c>
      <c r="K54" s="12" t="s">
        <v>58</v>
      </c>
      <c r="L54" s="14" t="s">
        <v>380</v>
      </c>
      <c r="M54" s="15"/>
    </row>
    <row r="55" customFormat="false" ht="72" hidden="false" customHeight="true" outlineLevel="0" collapsed="false">
      <c r="A55" s="11" t="s">
        <v>381</v>
      </c>
      <c r="B55" s="12" t="s">
        <v>50</v>
      </c>
      <c r="C55" s="13" t="s">
        <v>374</v>
      </c>
      <c r="D55" s="13" t="s">
        <v>382</v>
      </c>
      <c r="E55" s="14" t="s">
        <v>383</v>
      </c>
      <c r="F55" s="14" t="s">
        <v>384</v>
      </c>
      <c r="G55" s="14" t="s">
        <v>385</v>
      </c>
      <c r="H55" s="13"/>
      <c r="I55" s="13" t="s">
        <v>386</v>
      </c>
      <c r="J55" s="12" t="s">
        <v>110</v>
      </c>
      <c r="K55" s="12" t="s">
        <v>58</v>
      </c>
      <c r="L55" s="14" t="s">
        <v>387</v>
      </c>
      <c r="M55" s="15"/>
    </row>
    <row r="56" customFormat="false" ht="111" hidden="false" customHeight="true" outlineLevel="0" collapsed="false">
      <c r="A56" s="11" t="s">
        <v>388</v>
      </c>
      <c r="B56" s="12" t="s">
        <v>50</v>
      </c>
      <c r="C56" s="13" t="s">
        <v>374</v>
      </c>
      <c r="D56" s="13" t="s">
        <v>389</v>
      </c>
      <c r="E56" s="14" t="s">
        <v>390</v>
      </c>
      <c r="F56" s="14" t="s">
        <v>391</v>
      </c>
      <c r="G56" s="14" t="s">
        <v>392</v>
      </c>
      <c r="H56" s="13"/>
      <c r="I56" s="13" t="s">
        <v>393</v>
      </c>
      <c r="J56" s="12" t="s">
        <v>110</v>
      </c>
      <c r="K56" s="12" t="s">
        <v>58</v>
      </c>
      <c r="L56" s="14" t="s">
        <v>394</v>
      </c>
      <c r="M56" s="15"/>
    </row>
    <row r="57" customFormat="false" ht="111" hidden="false" customHeight="true" outlineLevel="0" collapsed="false">
      <c r="A57" s="11" t="s">
        <v>395</v>
      </c>
      <c r="B57" s="12" t="s">
        <v>50</v>
      </c>
      <c r="C57" s="13" t="s">
        <v>374</v>
      </c>
      <c r="D57" s="13" t="s">
        <v>396</v>
      </c>
      <c r="E57" s="14" t="s">
        <v>397</v>
      </c>
      <c r="F57" s="14" t="s">
        <v>398</v>
      </c>
      <c r="G57" s="14" t="s">
        <v>399</v>
      </c>
      <c r="H57" s="13"/>
      <c r="I57" s="13" t="s">
        <v>400</v>
      </c>
      <c r="J57" s="12" t="s">
        <v>110</v>
      </c>
      <c r="K57" s="12" t="s">
        <v>58</v>
      </c>
      <c r="L57" s="14" t="s">
        <v>401</v>
      </c>
      <c r="M57" s="15"/>
    </row>
    <row r="58" customFormat="false" ht="98.25" hidden="false" customHeight="true" outlineLevel="0" collapsed="false">
      <c r="A58" s="11" t="s">
        <v>402</v>
      </c>
      <c r="B58" s="12" t="s">
        <v>50</v>
      </c>
      <c r="C58" s="13" t="s">
        <v>374</v>
      </c>
      <c r="D58" s="13" t="s">
        <v>403</v>
      </c>
      <c r="E58" s="14" t="s">
        <v>404</v>
      </c>
      <c r="F58" s="14" t="s">
        <v>405</v>
      </c>
      <c r="G58" s="14" t="s">
        <v>406</v>
      </c>
      <c r="H58" s="13"/>
      <c r="I58" s="13" t="s">
        <v>407</v>
      </c>
      <c r="J58" s="12" t="s">
        <v>110</v>
      </c>
      <c r="K58" s="12" t="s">
        <v>58</v>
      </c>
      <c r="L58" s="14" t="s">
        <v>408</v>
      </c>
      <c r="M58" s="15"/>
    </row>
    <row r="59" customFormat="false" ht="84.75" hidden="false" customHeight="true" outlineLevel="0" collapsed="false">
      <c r="A59" s="11" t="s">
        <v>409</v>
      </c>
      <c r="B59" s="12" t="s">
        <v>50</v>
      </c>
      <c r="C59" s="13" t="s">
        <v>374</v>
      </c>
      <c r="D59" s="13" t="s">
        <v>410</v>
      </c>
      <c r="E59" s="14" t="s">
        <v>411</v>
      </c>
      <c r="F59" s="14" t="s">
        <v>412</v>
      </c>
      <c r="G59" s="14" t="s">
        <v>413</v>
      </c>
      <c r="H59" s="13"/>
      <c r="I59" s="13" t="s">
        <v>414</v>
      </c>
      <c r="J59" s="12" t="s">
        <v>101</v>
      </c>
      <c r="K59" s="12" t="s">
        <v>58</v>
      </c>
      <c r="L59" s="14" t="s">
        <v>415</v>
      </c>
      <c r="M59" s="15"/>
    </row>
    <row r="60" customFormat="false" ht="72" hidden="false" customHeight="true" outlineLevel="0" collapsed="false">
      <c r="A60" s="11" t="s">
        <v>416</v>
      </c>
      <c r="B60" s="12" t="s">
        <v>50</v>
      </c>
      <c r="C60" s="13" t="s">
        <v>374</v>
      </c>
      <c r="D60" s="13" t="s">
        <v>417</v>
      </c>
      <c r="E60" s="14" t="s">
        <v>418</v>
      </c>
      <c r="F60" s="14" t="s">
        <v>419</v>
      </c>
      <c r="G60" s="14" t="s">
        <v>420</v>
      </c>
      <c r="H60" s="13"/>
      <c r="I60" s="13" t="s">
        <v>421</v>
      </c>
      <c r="J60" s="12" t="s">
        <v>110</v>
      </c>
      <c r="K60" s="12" t="s">
        <v>102</v>
      </c>
      <c r="L60" s="14" t="s">
        <v>422</v>
      </c>
      <c r="M60" s="15"/>
    </row>
    <row r="61" customFormat="false" ht="72" hidden="false" customHeight="true" outlineLevel="0" collapsed="false">
      <c r="A61" s="11" t="s">
        <v>423</v>
      </c>
      <c r="B61" s="12" t="s">
        <v>50</v>
      </c>
      <c r="C61" s="13" t="s">
        <v>374</v>
      </c>
      <c r="D61" s="13" t="s">
        <v>424</v>
      </c>
      <c r="E61" s="14" t="s">
        <v>425</v>
      </c>
      <c r="F61" s="14" t="s">
        <v>426</v>
      </c>
      <c r="G61" s="14" t="s">
        <v>427</v>
      </c>
      <c r="H61" s="13"/>
      <c r="I61" s="13" t="s">
        <v>428</v>
      </c>
      <c r="J61" s="12" t="s">
        <v>57</v>
      </c>
      <c r="K61" s="12" t="s">
        <v>102</v>
      </c>
      <c r="L61" s="14" t="s">
        <v>429</v>
      </c>
      <c r="M61" s="15"/>
    </row>
    <row r="62" customFormat="false" ht="72" hidden="false" customHeight="true" outlineLevel="0" collapsed="false">
      <c r="A62" s="11" t="s">
        <v>430</v>
      </c>
      <c r="B62" s="12" t="s">
        <v>50</v>
      </c>
      <c r="C62" s="13" t="s">
        <v>374</v>
      </c>
      <c r="D62" s="13" t="s">
        <v>431</v>
      </c>
      <c r="E62" s="14" t="s">
        <v>432</v>
      </c>
      <c r="F62" s="14" t="s">
        <v>433</v>
      </c>
      <c r="G62" s="14" t="s">
        <v>434</v>
      </c>
      <c r="H62" s="13"/>
      <c r="I62" s="13" t="s">
        <v>435</v>
      </c>
      <c r="J62" s="12" t="s">
        <v>110</v>
      </c>
      <c r="K62" s="12" t="s">
        <v>272</v>
      </c>
      <c r="L62" s="14" t="s">
        <v>436</v>
      </c>
      <c r="M62" s="15"/>
    </row>
    <row r="63" customFormat="false" ht="72" hidden="false" customHeight="true" outlineLevel="0" collapsed="false">
      <c r="A63" s="11" t="s">
        <v>437</v>
      </c>
      <c r="B63" s="12" t="s">
        <v>50</v>
      </c>
      <c r="C63" s="13" t="s">
        <v>438</v>
      </c>
      <c r="D63" s="13" t="s">
        <v>439</v>
      </c>
      <c r="E63" s="14" t="s">
        <v>440</v>
      </c>
      <c r="F63" s="14" t="s">
        <v>441</v>
      </c>
      <c r="G63" s="14" t="s">
        <v>442</v>
      </c>
      <c r="H63" s="13"/>
      <c r="I63" s="13" t="s">
        <v>443</v>
      </c>
      <c r="J63" s="12" t="s">
        <v>110</v>
      </c>
      <c r="K63" s="12" t="s">
        <v>58</v>
      </c>
      <c r="L63" s="14" t="s">
        <v>444</v>
      </c>
      <c r="M63" s="15"/>
    </row>
    <row r="64" customFormat="false" ht="59.25" hidden="false" customHeight="true" outlineLevel="0" collapsed="false">
      <c r="A64" s="11" t="s">
        <v>445</v>
      </c>
      <c r="B64" s="12" t="s">
        <v>50</v>
      </c>
      <c r="C64" s="13" t="s">
        <v>438</v>
      </c>
      <c r="D64" s="13" t="s">
        <v>446</v>
      </c>
      <c r="E64" s="14" t="s">
        <v>447</v>
      </c>
      <c r="F64" s="14" t="s">
        <v>448</v>
      </c>
      <c r="G64" s="14" t="s">
        <v>449</v>
      </c>
      <c r="H64" s="13"/>
      <c r="I64" s="13" t="s">
        <v>450</v>
      </c>
      <c r="J64" s="12" t="s">
        <v>110</v>
      </c>
      <c r="K64" s="12" t="s">
        <v>102</v>
      </c>
      <c r="L64" s="14" t="s">
        <v>451</v>
      </c>
      <c r="M64" s="15"/>
    </row>
    <row r="65" customFormat="false" ht="59.25" hidden="false" customHeight="true" outlineLevel="0" collapsed="false">
      <c r="A65" s="11" t="s">
        <v>452</v>
      </c>
      <c r="B65" s="12" t="s">
        <v>50</v>
      </c>
      <c r="C65" s="13" t="s">
        <v>438</v>
      </c>
      <c r="D65" s="13" t="s">
        <v>453</v>
      </c>
      <c r="E65" s="14" t="s">
        <v>454</v>
      </c>
      <c r="F65" s="14" t="s">
        <v>455</v>
      </c>
      <c r="G65" s="14" t="s">
        <v>456</v>
      </c>
      <c r="H65" s="13"/>
      <c r="I65" s="13" t="s">
        <v>457</v>
      </c>
      <c r="J65" s="12" t="s">
        <v>110</v>
      </c>
      <c r="K65" s="12" t="s">
        <v>102</v>
      </c>
      <c r="L65" s="14" t="s">
        <v>458</v>
      </c>
      <c r="M65" s="15"/>
    </row>
    <row r="66" customFormat="false" ht="136.5" hidden="false" customHeight="true" outlineLevel="0" collapsed="false">
      <c r="A66" s="11" t="s">
        <v>459</v>
      </c>
      <c r="B66" s="12" t="s">
        <v>50</v>
      </c>
      <c r="C66" s="13" t="s">
        <v>438</v>
      </c>
      <c r="D66" s="13" t="s">
        <v>460</v>
      </c>
      <c r="E66" s="14" t="s">
        <v>461</v>
      </c>
      <c r="F66" s="14" t="s">
        <v>462</v>
      </c>
      <c r="G66" s="14" t="s">
        <v>463</v>
      </c>
      <c r="H66" s="13"/>
      <c r="I66" s="13" t="s">
        <v>464</v>
      </c>
      <c r="J66" s="12" t="s">
        <v>110</v>
      </c>
      <c r="K66" s="12" t="s">
        <v>58</v>
      </c>
      <c r="L66" s="14" t="s">
        <v>465</v>
      </c>
      <c r="M66" s="15"/>
    </row>
    <row r="67" customFormat="false" ht="98.25" hidden="false" customHeight="true" outlineLevel="0" collapsed="false">
      <c r="A67" s="11" t="s">
        <v>466</v>
      </c>
      <c r="B67" s="12" t="s">
        <v>50</v>
      </c>
      <c r="C67" s="13" t="s">
        <v>438</v>
      </c>
      <c r="D67" s="13" t="s">
        <v>467</v>
      </c>
      <c r="E67" s="14" t="s">
        <v>468</v>
      </c>
      <c r="F67" s="14" t="s">
        <v>469</v>
      </c>
      <c r="G67" s="14" t="s">
        <v>470</v>
      </c>
      <c r="H67" s="13"/>
      <c r="I67" s="13" t="s">
        <v>471</v>
      </c>
      <c r="J67" s="12" t="s">
        <v>110</v>
      </c>
      <c r="K67" s="12" t="s">
        <v>102</v>
      </c>
      <c r="L67" s="14" t="s">
        <v>472</v>
      </c>
      <c r="M67" s="15"/>
    </row>
    <row r="68" customFormat="false" ht="84.75" hidden="false" customHeight="true" outlineLevel="0" collapsed="false">
      <c r="A68" s="11" t="s">
        <v>473</v>
      </c>
      <c r="B68" s="12" t="s">
        <v>50</v>
      </c>
      <c r="C68" s="13" t="s">
        <v>438</v>
      </c>
      <c r="D68" s="13" t="s">
        <v>474</v>
      </c>
      <c r="E68" s="14" t="s">
        <v>475</v>
      </c>
      <c r="F68" s="14" t="s">
        <v>476</v>
      </c>
      <c r="G68" s="14" t="s">
        <v>477</v>
      </c>
      <c r="H68" s="13"/>
      <c r="I68" s="13" t="s">
        <v>478</v>
      </c>
      <c r="J68" s="12" t="s">
        <v>110</v>
      </c>
      <c r="K68" s="12" t="s">
        <v>102</v>
      </c>
      <c r="L68" s="14" t="s">
        <v>479</v>
      </c>
      <c r="M68" s="15"/>
    </row>
    <row r="69" customFormat="false" ht="72" hidden="false" customHeight="true" outlineLevel="0" collapsed="false">
      <c r="A69" s="11" t="s">
        <v>480</v>
      </c>
      <c r="B69" s="12" t="s">
        <v>50</v>
      </c>
      <c r="C69" s="13" t="s">
        <v>438</v>
      </c>
      <c r="D69" s="13" t="s">
        <v>481</v>
      </c>
      <c r="E69" s="14" t="s">
        <v>482</v>
      </c>
      <c r="F69" s="14" t="s">
        <v>483</v>
      </c>
      <c r="G69" s="14" t="s">
        <v>484</v>
      </c>
      <c r="H69" s="13"/>
      <c r="I69" s="13" t="s">
        <v>481</v>
      </c>
      <c r="J69" s="12" t="s">
        <v>110</v>
      </c>
      <c r="K69" s="12" t="s">
        <v>102</v>
      </c>
      <c r="L69" s="14" t="s">
        <v>485</v>
      </c>
      <c r="M69" s="15"/>
    </row>
    <row r="70" customFormat="false" ht="84.75" hidden="false" customHeight="true" outlineLevel="0" collapsed="false">
      <c r="A70" s="11" t="s">
        <v>486</v>
      </c>
      <c r="B70" s="12" t="s">
        <v>50</v>
      </c>
      <c r="C70" s="13" t="s">
        <v>438</v>
      </c>
      <c r="D70" s="13" t="s">
        <v>487</v>
      </c>
      <c r="E70" s="14" t="s">
        <v>488</v>
      </c>
      <c r="F70" s="14" t="s">
        <v>489</v>
      </c>
      <c r="G70" s="14" t="s">
        <v>490</v>
      </c>
      <c r="H70" s="13"/>
      <c r="I70" s="13" t="s">
        <v>491</v>
      </c>
      <c r="J70" s="12" t="s">
        <v>110</v>
      </c>
      <c r="K70" s="12" t="s">
        <v>102</v>
      </c>
      <c r="L70" s="14" t="s">
        <v>492</v>
      </c>
      <c r="M70" s="15"/>
    </row>
    <row r="71" customFormat="false" ht="84.75" hidden="false" customHeight="true" outlineLevel="0" collapsed="false">
      <c r="A71" s="11" t="s">
        <v>493</v>
      </c>
      <c r="B71" s="12" t="s">
        <v>50</v>
      </c>
      <c r="C71" s="13" t="s">
        <v>438</v>
      </c>
      <c r="D71" s="13" t="s">
        <v>494</v>
      </c>
      <c r="E71" s="14" t="s">
        <v>495</v>
      </c>
      <c r="F71" s="14" t="s">
        <v>496</v>
      </c>
      <c r="G71" s="14" t="s">
        <v>497</v>
      </c>
      <c r="H71" s="13"/>
      <c r="I71" s="13" t="s">
        <v>498</v>
      </c>
      <c r="J71" s="12" t="s">
        <v>110</v>
      </c>
      <c r="K71" s="12" t="s">
        <v>58</v>
      </c>
      <c r="L71" s="14" t="s">
        <v>499</v>
      </c>
      <c r="M71" s="15"/>
    </row>
    <row r="72" customFormat="false" ht="98.25" hidden="false" customHeight="true" outlineLevel="0" collapsed="false">
      <c r="A72" s="11" t="s">
        <v>500</v>
      </c>
      <c r="B72" s="12" t="s">
        <v>50</v>
      </c>
      <c r="C72" s="13" t="s">
        <v>438</v>
      </c>
      <c r="D72" s="13" t="s">
        <v>501</v>
      </c>
      <c r="E72" s="14" t="s">
        <v>502</v>
      </c>
      <c r="F72" s="14" t="s">
        <v>503</v>
      </c>
      <c r="G72" s="14" t="s">
        <v>504</v>
      </c>
      <c r="H72" s="13"/>
      <c r="I72" s="13" t="s">
        <v>505</v>
      </c>
      <c r="J72" s="12" t="s">
        <v>110</v>
      </c>
      <c r="K72" s="12" t="s">
        <v>58</v>
      </c>
      <c r="L72" s="14" t="s">
        <v>506</v>
      </c>
      <c r="M72" s="15"/>
    </row>
    <row r="73" customFormat="false" ht="33.75" hidden="false" customHeight="true" outlineLevel="0" collapsed="false">
      <c r="A73" s="11" t="s">
        <v>507</v>
      </c>
      <c r="B73" s="12" t="s">
        <v>50</v>
      </c>
      <c r="C73" s="13" t="s">
        <v>438</v>
      </c>
      <c r="D73" s="13" t="s">
        <v>508</v>
      </c>
      <c r="E73" s="14" t="s">
        <v>509</v>
      </c>
      <c r="F73" s="14" t="s">
        <v>510</v>
      </c>
      <c r="G73" s="14" t="s">
        <v>511</v>
      </c>
      <c r="H73" s="13"/>
      <c r="I73" s="13" t="s">
        <v>512</v>
      </c>
      <c r="J73" s="12" t="s">
        <v>110</v>
      </c>
      <c r="K73" s="12" t="s">
        <v>272</v>
      </c>
      <c r="L73" s="14" t="s">
        <v>513</v>
      </c>
      <c r="M73" s="15"/>
    </row>
    <row r="74" customFormat="false" ht="59.25" hidden="false" customHeight="true" outlineLevel="0" collapsed="false">
      <c r="A74" s="11" t="s">
        <v>514</v>
      </c>
      <c r="B74" s="12" t="s">
        <v>50</v>
      </c>
      <c r="C74" s="13" t="s">
        <v>438</v>
      </c>
      <c r="D74" s="13" t="s">
        <v>515</v>
      </c>
      <c r="E74" s="14" t="s">
        <v>516</v>
      </c>
      <c r="F74" s="14" t="s">
        <v>517</v>
      </c>
      <c r="G74" s="14" t="s">
        <v>518</v>
      </c>
      <c r="H74" s="13"/>
      <c r="I74" s="13" t="s">
        <v>519</v>
      </c>
      <c r="J74" s="12" t="s">
        <v>110</v>
      </c>
      <c r="K74" s="12" t="s">
        <v>102</v>
      </c>
      <c r="L74" s="14" t="s">
        <v>520</v>
      </c>
      <c r="M74" s="15"/>
    </row>
    <row r="75" customFormat="false" ht="59.25" hidden="false" customHeight="true" outlineLevel="0" collapsed="false">
      <c r="A75" s="11" t="s">
        <v>521</v>
      </c>
      <c r="B75" s="12" t="s">
        <v>50</v>
      </c>
      <c r="C75" s="13" t="s">
        <v>438</v>
      </c>
      <c r="D75" s="13" t="s">
        <v>522</v>
      </c>
      <c r="E75" s="14" t="s">
        <v>523</v>
      </c>
      <c r="F75" s="14" t="s">
        <v>524</v>
      </c>
      <c r="G75" s="14" t="s">
        <v>525</v>
      </c>
      <c r="H75" s="13"/>
      <c r="I75" s="13" t="s">
        <v>526</v>
      </c>
      <c r="J75" s="12" t="s">
        <v>110</v>
      </c>
      <c r="K75" s="12" t="s">
        <v>102</v>
      </c>
      <c r="L75" s="14" t="s">
        <v>527</v>
      </c>
      <c r="M75" s="15"/>
    </row>
  </sheetData>
  <autoFilter ref="A18:M75"/>
  <mergeCells count="18">
    <mergeCell ref="A1:B4"/>
    <mergeCell ref="A6:B6"/>
    <mergeCell ref="C6:H6"/>
    <mergeCell ref="A7:B7"/>
    <mergeCell ref="C7:H7"/>
    <mergeCell ref="A8:B8"/>
    <mergeCell ref="C8:H8"/>
    <mergeCell ref="A10:M10"/>
    <mergeCell ref="A11:B11"/>
    <mergeCell ref="C11:M11"/>
    <mergeCell ref="A12:B12"/>
    <mergeCell ref="C12:M12"/>
    <mergeCell ref="A13:B13"/>
    <mergeCell ref="C13:M13"/>
    <mergeCell ref="A14:B14"/>
    <mergeCell ref="C14:M14"/>
    <mergeCell ref="A15:B15"/>
    <mergeCell ref="C15:M15"/>
  </mergeCells>
  <conditionalFormatting sqref="B19:B400">
    <cfRule type="cellIs" priority="2" operator="equal" aboveAverage="0" equalAverage="0" bottom="0" percent="0" rank="0" text="" dxfId="5">
      <formula>"Başarılı"</formula>
    </cfRule>
    <cfRule type="cellIs" priority="3" operator="equal" aboveAverage="0" equalAverage="0" bottom="0" percent="0" rank="0" text="" dxfId="6">
      <formula>"Başarısız"</formula>
    </cfRule>
    <cfRule type="cellIs" priority="4" operator="equal" aboveAverage="0" equalAverage="0" bottom="0" percent="0" rank="0" text="" dxfId="7">
      <formula>"Test Ediliyor"</formula>
    </cfRule>
    <cfRule type="cellIs" priority="5" operator="equal" aboveAverage="0" equalAverage="0" bottom="0" percent="0" rank="0" text="" dxfId="8">
      <formula>"Bloke"</formula>
    </cfRule>
  </conditionalFormatting>
  <conditionalFormatting sqref="K19:K400">
    <cfRule type="cellIs" priority="6" operator="equal" aboveAverage="0" equalAverage="0" bottom="0" percent="0" rank="0" text="" dxfId="9">
      <formula>"Yüksek"</formula>
    </cfRule>
  </conditionalFormatting>
  <dataValidations count="3">
    <dataValidation allowBlank="true" errorStyle="stop" operator="between" showDropDown="false" showErrorMessage="false" showInputMessage="false" sqref="B19:B400" type="list">
      <formula1>Listeler!$A$2:$A$10</formula1>
      <formula2>0</formula2>
    </dataValidation>
    <dataValidation allowBlank="true" errorStyle="stop" operator="between" showDropDown="false" showErrorMessage="false" showInputMessage="false" sqref="J19:J400" type="list">
      <formula1>Listeler!$B$2:$B$10</formula1>
      <formula2>0</formula2>
    </dataValidation>
    <dataValidation allowBlank="true" errorStyle="stop" operator="between" showDropDown="false" showErrorMessage="false" showInputMessage="false" sqref="K19:K400" type="list">
      <formula1>Listeler!$C$2:$C$10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12"/>
    <col collapsed="false" customWidth="true" hidden="false" outlineLevel="0" max="4" min="4" style="0" width="34"/>
    <col collapsed="false" customWidth="true" hidden="false" outlineLevel="0" max="5" min="5" style="0" width="48"/>
    <col collapsed="false" customWidth="true" hidden="false" outlineLevel="0" max="6" min="6" style="0" width="52"/>
    <col collapsed="false" customWidth="true" hidden="false" outlineLevel="0" max="7" min="7" style="0" width="44"/>
    <col collapsed="false" customWidth="true" hidden="false" outlineLevel="0" max="8" min="8" style="0" width="30"/>
    <col collapsed="false" customWidth="true" hidden="false" outlineLevel="0" max="9" min="9" style="0" width="34"/>
    <col collapsed="false" customWidth="true" hidden="false" outlineLevel="0" max="10" min="10" style="0" width="13"/>
    <col collapsed="false" customWidth="true" hidden="false" outlineLevel="0" max="11" min="11" style="0" width="10"/>
    <col collapsed="false" customWidth="true" hidden="false" outlineLevel="0" max="12" min="12" style="0" width="56"/>
    <col collapsed="false" customWidth="true" hidden="false" outlineLevel="0" max="13" min="13" style="0" width="14"/>
  </cols>
  <sheetData>
    <row r="1" customFormat="false" ht="21.75" hidden="false" customHeight="true" outlineLevel="0" collapsed="false">
      <c r="A1" s="1" t="s">
        <v>0</v>
      </c>
      <c r="B1" s="1"/>
      <c r="C1" s="2" t="s">
        <v>1</v>
      </c>
      <c r="D1" s="3" t="s">
        <v>2</v>
      </c>
      <c r="E1" s="2" t="s">
        <v>3</v>
      </c>
      <c r="F1" s="4"/>
      <c r="G1" s="5" t="s">
        <v>4</v>
      </c>
    </row>
    <row r="2" customFormat="false" ht="21.75" hidden="false" customHeight="true" outlineLevel="0" collapsed="false">
      <c r="A2" s="1"/>
      <c r="B2" s="1"/>
      <c r="C2" s="2" t="s">
        <v>5</v>
      </c>
      <c r="D2" s="3" t="s">
        <v>6</v>
      </c>
      <c r="E2" s="2" t="s">
        <v>7</v>
      </c>
      <c r="F2" s="4"/>
      <c r="G2" s="2" t="s">
        <v>8</v>
      </c>
      <c r="H2" s="6" t="n">
        <f aca="false">COUNTA($A$11:$A$200)</f>
        <v>33</v>
      </c>
    </row>
    <row r="3" customFormat="false" ht="21.75" hidden="false" customHeight="true" outlineLevel="0" collapsed="false">
      <c r="A3" s="1"/>
      <c r="B3" s="1"/>
      <c r="C3" s="2" t="s">
        <v>9</v>
      </c>
      <c r="D3" s="3" t="s">
        <v>528</v>
      </c>
      <c r="E3" s="2" t="s">
        <v>11</v>
      </c>
      <c r="F3" s="4"/>
      <c r="G3" s="2" t="s">
        <v>12</v>
      </c>
      <c r="H3" s="6" t="n">
        <f aca="false">COUNTIF($B$11:$B$200,"Başarılı")</f>
        <v>0</v>
      </c>
    </row>
    <row r="4" customFormat="false" ht="21.75" hidden="false" customHeight="true" outlineLevel="0" collapsed="false">
      <c r="A4" s="1"/>
      <c r="B4" s="1"/>
      <c r="C4" s="2" t="s">
        <v>13</v>
      </c>
      <c r="D4" s="3" t="s">
        <v>14</v>
      </c>
      <c r="E4" s="2" t="s">
        <v>15</v>
      </c>
      <c r="F4" s="4"/>
      <c r="G4" s="2" t="s">
        <v>16</v>
      </c>
      <c r="H4" s="6" t="n">
        <f aca="false">COUNTIF($B$11:$B$200,"Başarısız")</f>
        <v>0</v>
      </c>
    </row>
    <row r="6" customFormat="false" ht="42" hidden="false" customHeight="true" outlineLevel="0" collapsed="false">
      <c r="A6" s="2" t="s">
        <v>529</v>
      </c>
      <c r="B6" s="2"/>
      <c r="C6" s="3" t="s">
        <v>530</v>
      </c>
      <c r="D6" s="3"/>
      <c r="E6" s="3"/>
      <c r="F6" s="3"/>
      <c r="G6" s="3"/>
      <c r="H6" s="3"/>
    </row>
    <row r="7" customFormat="false" ht="30" hidden="false" customHeight="true" outlineLevel="0" collapsed="false">
      <c r="A7" s="2" t="s">
        <v>531</v>
      </c>
      <c r="B7" s="2"/>
      <c r="C7" s="3" t="s">
        <v>532</v>
      </c>
      <c r="D7" s="3"/>
      <c r="E7" s="3"/>
      <c r="F7" s="3"/>
      <c r="G7" s="3"/>
      <c r="H7" s="3"/>
    </row>
    <row r="8" customFormat="false" ht="33.75" hidden="false" customHeight="true" outlineLevel="0" collapsed="false">
      <c r="A8" s="2" t="s">
        <v>21</v>
      </c>
      <c r="B8" s="2"/>
      <c r="C8" s="3" t="s">
        <v>533</v>
      </c>
      <c r="D8" s="3"/>
      <c r="E8" s="3"/>
      <c r="F8" s="3"/>
      <c r="G8" s="3"/>
      <c r="H8" s="3"/>
    </row>
    <row r="10" customFormat="false" ht="25.5" hidden="false" customHeight="true" outlineLevel="0" collapsed="false">
      <c r="A10" s="10" t="s">
        <v>36</v>
      </c>
      <c r="B10" s="10" t="s">
        <v>37</v>
      </c>
      <c r="C10" s="10" t="s">
        <v>534</v>
      </c>
      <c r="D10" s="10" t="s">
        <v>535</v>
      </c>
      <c r="E10" s="10" t="s">
        <v>536</v>
      </c>
      <c r="F10" s="10" t="s">
        <v>41</v>
      </c>
      <c r="G10" s="10" t="s">
        <v>42</v>
      </c>
      <c r="H10" s="10" t="s">
        <v>43</v>
      </c>
      <c r="I10" s="10" t="s">
        <v>44</v>
      </c>
      <c r="J10" s="10" t="s">
        <v>45</v>
      </c>
      <c r="K10" s="10" t="s">
        <v>46</v>
      </c>
      <c r="L10" s="10" t="s">
        <v>537</v>
      </c>
      <c r="M10" s="10" t="s">
        <v>48</v>
      </c>
    </row>
    <row r="11" customFormat="false" ht="72" hidden="false" customHeight="true" outlineLevel="0" collapsed="false">
      <c r="A11" s="11" t="s">
        <v>538</v>
      </c>
      <c r="B11" s="12" t="s">
        <v>50</v>
      </c>
      <c r="C11" s="13" t="s">
        <v>539</v>
      </c>
      <c r="D11" s="13" t="s">
        <v>540</v>
      </c>
      <c r="E11" s="14" t="s">
        <v>541</v>
      </c>
      <c r="F11" s="14" t="s">
        <v>542</v>
      </c>
      <c r="G11" s="14" t="s">
        <v>543</v>
      </c>
      <c r="H11" s="13"/>
      <c r="I11" s="13" t="s">
        <v>544</v>
      </c>
      <c r="J11" s="12" t="s">
        <v>110</v>
      </c>
      <c r="K11" s="12" t="s">
        <v>58</v>
      </c>
      <c r="L11" s="14" t="s">
        <v>545</v>
      </c>
      <c r="M11" s="15"/>
    </row>
    <row r="12" customFormat="false" ht="123.75" hidden="false" customHeight="true" outlineLevel="0" collapsed="false">
      <c r="A12" s="11" t="s">
        <v>546</v>
      </c>
      <c r="B12" s="12" t="s">
        <v>50</v>
      </c>
      <c r="C12" s="13" t="s">
        <v>539</v>
      </c>
      <c r="D12" s="13" t="s">
        <v>547</v>
      </c>
      <c r="E12" s="14" t="s">
        <v>548</v>
      </c>
      <c r="F12" s="14" t="s">
        <v>549</v>
      </c>
      <c r="G12" s="14" t="s">
        <v>550</v>
      </c>
      <c r="H12" s="13"/>
      <c r="I12" s="13" t="s">
        <v>551</v>
      </c>
      <c r="J12" s="12" t="s">
        <v>110</v>
      </c>
      <c r="K12" s="12" t="s">
        <v>58</v>
      </c>
      <c r="L12" s="14" t="s">
        <v>552</v>
      </c>
      <c r="M12" s="15"/>
    </row>
    <row r="13" customFormat="false" ht="98.25" hidden="false" customHeight="true" outlineLevel="0" collapsed="false">
      <c r="A13" s="11" t="s">
        <v>553</v>
      </c>
      <c r="B13" s="12" t="s">
        <v>50</v>
      </c>
      <c r="C13" s="13" t="s">
        <v>539</v>
      </c>
      <c r="D13" s="13" t="s">
        <v>554</v>
      </c>
      <c r="E13" s="14" t="s">
        <v>555</v>
      </c>
      <c r="F13" s="14" t="s">
        <v>556</v>
      </c>
      <c r="G13" s="14" t="s">
        <v>557</v>
      </c>
      <c r="H13" s="13"/>
      <c r="I13" s="13" t="s">
        <v>558</v>
      </c>
      <c r="J13" s="12" t="s">
        <v>110</v>
      </c>
      <c r="K13" s="12" t="s">
        <v>58</v>
      </c>
      <c r="L13" s="14" t="s">
        <v>559</v>
      </c>
      <c r="M13" s="15"/>
    </row>
    <row r="14" customFormat="false" ht="72" hidden="false" customHeight="true" outlineLevel="0" collapsed="false">
      <c r="A14" s="11" t="s">
        <v>560</v>
      </c>
      <c r="B14" s="12" t="s">
        <v>50</v>
      </c>
      <c r="C14" s="13" t="s">
        <v>561</v>
      </c>
      <c r="D14" s="13" t="s">
        <v>562</v>
      </c>
      <c r="E14" s="14" t="s">
        <v>563</v>
      </c>
      <c r="F14" s="14" t="s">
        <v>564</v>
      </c>
      <c r="G14" s="14" t="s">
        <v>565</v>
      </c>
      <c r="H14" s="13"/>
      <c r="I14" s="13" t="s">
        <v>566</v>
      </c>
      <c r="J14" s="12" t="s">
        <v>110</v>
      </c>
      <c r="K14" s="12" t="s">
        <v>102</v>
      </c>
      <c r="L14" s="14" t="s">
        <v>567</v>
      </c>
      <c r="M14" s="15"/>
    </row>
    <row r="15" customFormat="false" ht="72" hidden="false" customHeight="true" outlineLevel="0" collapsed="false">
      <c r="A15" s="11" t="s">
        <v>568</v>
      </c>
      <c r="B15" s="12" t="s">
        <v>50</v>
      </c>
      <c r="C15" s="13" t="s">
        <v>539</v>
      </c>
      <c r="D15" s="13" t="s">
        <v>569</v>
      </c>
      <c r="E15" s="14" t="s">
        <v>570</v>
      </c>
      <c r="F15" s="14" t="s">
        <v>571</v>
      </c>
      <c r="G15" s="14" t="s">
        <v>572</v>
      </c>
      <c r="H15" s="13"/>
      <c r="I15" s="13" t="s">
        <v>573</v>
      </c>
      <c r="J15" s="12" t="s">
        <v>110</v>
      </c>
      <c r="K15" s="12" t="s">
        <v>58</v>
      </c>
      <c r="L15" s="14" t="s">
        <v>574</v>
      </c>
      <c r="M15" s="15"/>
    </row>
    <row r="16" customFormat="false" ht="72" hidden="false" customHeight="true" outlineLevel="0" collapsed="false">
      <c r="A16" s="11" t="s">
        <v>575</v>
      </c>
      <c r="B16" s="12" t="s">
        <v>50</v>
      </c>
      <c r="C16" s="13" t="s">
        <v>539</v>
      </c>
      <c r="D16" s="13" t="s">
        <v>576</v>
      </c>
      <c r="E16" s="14" t="s">
        <v>577</v>
      </c>
      <c r="F16" s="14" t="s">
        <v>578</v>
      </c>
      <c r="G16" s="14" t="s">
        <v>579</v>
      </c>
      <c r="H16" s="13"/>
      <c r="I16" s="13" t="s">
        <v>580</v>
      </c>
      <c r="J16" s="12" t="s">
        <v>110</v>
      </c>
      <c r="K16" s="12" t="s">
        <v>58</v>
      </c>
      <c r="L16" s="14" t="s">
        <v>581</v>
      </c>
      <c r="M16" s="15"/>
    </row>
    <row r="17" customFormat="false" ht="72" hidden="false" customHeight="true" outlineLevel="0" collapsed="false">
      <c r="A17" s="11" t="s">
        <v>582</v>
      </c>
      <c r="B17" s="12" t="s">
        <v>50</v>
      </c>
      <c r="C17" s="13" t="s">
        <v>539</v>
      </c>
      <c r="D17" s="13" t="s">
        <v>583</v>
      </c>
      <c r="E17" s="14" t="s">
        <v>584</v>
      </c>
      <c r="F17" s="14" t="s">
        <v>585</v>
      </c>
      <c r="G17" s="14" t="s">
        <v>586</v>
      </c>
      <c r="H17" s="13"/>
      <c r="I17" s="13" t="s">
        <v>587</v>
      </c>
      <c r="J17" s="12" t="s">
        <v>110</v>
      </c>
      <c r="K17" s="12" t="s">
        <v>58</v>
      </c>
      <c r="L17" s="14" t="s">
        <v>588</v>
      </c>
      <c r="M17" s="15"/>
    </row>
    <row r="18" customFormat="false" ht="59.25" hidden="false" customHeight="true" outlineLevel="0" collapsed="false">
      <c r="A18" s="11" t="s">
        <v>589</v>
      </c>
      <c r="B18" s="12" t="s">
        <v>50</v>
      </c>
      <c r="C18" s="13" t="s">
        <v>539</v>
      </c>
      <c r="D18" s="13" t="s">
        <v>590</v>
      </c>
      <c r="E18" s="14" t="s">
        <v>591</v>
      </c>
      <c r="F18" s="14" t="s">
        <v>592</v>
      </c>
      <c r="G18" s="14" t="s">
        <v>593</v>
      </c>
      <c r="H18" s="13"/>
      <c r="I18" s="13" t="s">
        <v>594</v>
      </c>
      <c r="J18" s="12" t="s">
        <v>110</v>
      </c>
      <c r="K18" s="12" t="s">
        <v>102</v>
      </c>
      <c r="L18" s="14" t="s">
        <v>595</v>
      </c>
      <c r="M18" s="15"/>
    </row>
    <row r="19" customFormat="false" ht="72" hidden="false" customHeight="true" outlineLevel="0" collapsed="false">
      <c r="A19" s="11" t="s">
        <v>596</v>
      </c>
      <c r="B19" s="12" t="s">
        <v>50</v>
      </c>
      <c r="C19" s="13" t="s">
        <v>597</v>
      </c>
      <c r="D19" s="13" t="s">
        <v>598</v>
      </c>
      <c r="E19" s="14" t="s">
        <v>599</v>
      </c>
      <c r="F19" s="14" t="s">
        <v>600</v>
      </c>
      <c r="G19" s="14" t="s">
        <v>601</v>
      </c>
      <c r="H19" s="13"/>
      <c r="I19" s="13" t="s">
        <v>602</v>
      </c>
      <c r="J19" s="12" t="s">
        <v>110</v>
      </c>
      <c r="K19" s="12" t="s">
        <v>58</v>
      </c>
      <c r="L19" s="14" t="s">
        <v>603</v>
      </c>
      <c r="M19" s="15"/>
    </row>
    <row r="20" customFormat="false" ht="84.75" hidden="false" customHeight="true" outlineLevel="0" collapsed="false">
      <c r="A20" s="11" t="s">
        <v>604</v>
      </c>
      <c r="B20" s="12" t="s">
        <v>50</v>
      </c>
      <c r="C20" s="13" t="s">
        <v>539</v>
      </c>
      <c r="D20" s="13" t="s">
        <v>605</v>
      </c>
      <c r="E20" s="14" t="s">
        <v>606</v>
      </c>
      <c r="F20" s="14" t="s">
        <v>607</v>
      </c>
      <c r="G20" s="14" t="s">
        <v>608</v>
      </c>
      <c r="H20" s="13"/>
      <c r="I20" s="13" t="s">
        <v>609</v>
      </c>
      <c r="J20" s="12" t="s">
        <v>110</v>
      </c>
      <c r="K20" s="12" t="s">
        <v>102</v>
      </c>
      <c r="L20" s="14" t="s">
        <v>610</v>
      </c>
      <c r="M20" s="15"/>
    </row>
    <row r="21" customFormat="false" ht="72" hidden="false" customHeight="true" outlineLevel="0" collapsed="false">
      <c r="A21" s="11" t="s">
        <v>611</v>
      </c>
      <c r="B21" s="12" t="s">
        <v>50</v>
      </c>
      <c r="C21" s="13" t="s">
        <v>561</v>
      </c>
      <c r="D21" s="13" t="s">
        <v>612</v>
      </c>
      <c r="E21" s="14" t="s">
        <v>613</v>
      </c>
      <c r="F21" s="14" t="s">
        <v>614</v>
      </c>
      <c r="G21" s="14" t="s">
        <v>615</v>
      </c>
      <c r="H21" s="13"/>
      <c r="I21" s="13" t="s">
        <v>616</v>
      </c>
      <c r="J21" s="12" t="s">
        <v>110</v>
      </c>
      <c r="K21" s="12" t="s">
        <v>102</v>
      </c>
      <c r="L21" s="14" t="s">
        <v>617</v>
      </c>
      <c r="M21" s="15"/>
    </row>
    <row r="22" customFormat="false" ht="59.25" hidden="false" customHeight="true" outlineLevel="0" collapsed="false">
      <c r="A22" s="11" t="s">
        <v>618</v>
      </c>
      <c r="B22" s="12" t="s">
        <v>50</v>
      </c>
      <c r="C22" s="13" t="s">
        <v>561</v>
      </c>
      <c r="D22" s="13" t="s">
        <v>619</v>
      </c>
      <c r="E22" s="14" t="s">
        <v>620</v>
      </c>
      <c r="F22" s="14" t="s">
        <v>621</v>
      </c>
      <c r="G22" s="14" t="s">
        <v>622</v>
      </c>
      <c r="H22" s="13"/>
      <c r="I22" s="13" t="s">
        <v>623</v>
      </c>
      <c r="J22" s="12" t="s">
        <v>110</v>
      </c>
      <c r="K22" s="12" t="s">
        <v>102</v>
      </c>
      <c r="L22" s="14" t="s">
        <v>624</v>
      </c>
      <c r="M22" s="15"/>
    </row>
    <row r="23" customFormat="false" ht="59.25" hidden="false" customHeight="true" outlineLevel="0" collapsed="false">
      <c r="A23" s="11" t="s">
        <v>625</v>
      </c>
      <c r="B23" s="12" t="s">
        <v>50</v>
      </c>
      <c r="C23" s="13" t="s">
        <v>561</v>
      </c>
      <c r="D23" s="13" t="s">
        <v>626</v>
      </c>
      <c r="E23" s="14" t="s">
        <v>627</v>
      </c>
      <c r="F23" s="14" t="s">
        <v>628</v>
      </c>
      <c r="G23" s="14" t="s">
        <v>629</v>
      </c>
      <c r="H23" s="13"/>
      <c r="I23" s="13" t="s">
        <v>630</v>
      </c>
      <c r="J23" s="12" t="s">
        <v>110</v>
      </c>
      <c r="K23" s="12" t="s">
        <v>102</v>
      </c>
      <c r="L23" s="14" t="s">
        <v>631</v>
      </c>
      <c r="M23" s="15"/>
    </row>
    <row r="24" customFormat="false" ht="98.25" hidden="false" customHeight="true" outlineLevel="0" collapsed="false">
      <c r="A24" s="11" t="s">
        <v>632</v>
      </c>
      <c r="B24" s="12" t="s">
        <v>50</v>
      </c>
      <c r="C24" s="13" t="s">
        <v>539</v>
      </c>
      <c r="D24" s="13" t="s">
        <v>633</v>
      </c>
      <c r="E24" s="14" t="s">
        <v>634</v>
      </c>
      <c r="F24" s="14" t="s">
        <v>635</v>
      </c>
      <c r="G24" s="14" t="s">
        <v>636</v>
      </c>
      <c r="H24" s="13"/>
      <c r="I24" s="13" t="s">
        <v>637</v>
      </c>
      <c r="J24" s="12" t="s">
        <v>110</v>
      </c>
      <c r="K24" s="12" t="s">
        <v>58</v>
      </c>
      <c r="L24" s="14" t="s">
        <v>638</v>
      </c>
      <c r="M24" s="15"/>
    </row>
    <row r="25" customFormat="false" ht="84.75" hidden="false" customHeight="true" outlineLevel="0" collapsed="false">
      <c r="A25" s="11" t="s">
        <v>639</v>
      </c>
      <c r="B25" s="12" t="s">
        <v>50</v>
      </c>
      <c r="C25" s="13" t="s">
        <v>539</v>
      </c>
      <c r="D25" s="13" t="s">
        <v>640</v>
      </c>
      <c r="E25" s="14" t="s">
        <v>641</v>
      </c>
      <c r="F25" s="14" t="s">
        <v>642</v>
      </c>
      <c r="G25" s="14" t="s">
        <v>643</v>
      </c>
      <c r="H25" s="13"/>
      <c r="I25" s="13" t="s">
        <v>644</v>
      </c>
      <c r="J25" s="12" t="s">
        <v>110</v>
      </c>
      <c r="K25" s="12" t="s">
        <v>102</v>
      </c>
      <c r="L25" s="14" t="s">
        <v>645</v>
      </c>
      <c r="M25" s="15"/>
    </row>
    <row r="26" customFormat="false" ht="84.75" hidden="false" customHeight="true" outlineLevel="0" collapsed="false">
      <c r="A26" s="11" t="s">
        <v>646</v>
      </c>
      <c r="B26" s="12" t="s">
        <v>50</v>
      </c>
      <c r="C26" s="13" t="s">
        <v>561</v>
      </c>
      <c r="D26" s="13" t="s">
        <v>647</v>
      </c>
      <c r="E26" s="14" t="s">
        <v>648</v>
      </c>
      <c r="F26" s="14" t="s">
        <v>649</v>
      </c>
      <c r="G26" s="14" t="s">
        <v>650</v>
      </c>
      <c r="H26" s="13"/>
      <c r="I26" s="13" t="s">
        <v>651</v>
      </c>
      <c r="J26" s="12" t="s">
        <v>110</v>
      </c>
      <c r="K26" s="12" t="s">
        <v>58</v>
      </c>
      <c r="L26" s="14" t="s">
        <v>652</v>
      </c>
      <c r="M26" s="15"/>
    </row>
    <row r="27" customFormat="false" ht="84.75" hidden="false" customHeight="true" outlineLevel="0" collapsed="false">
      <c r="A27" s="11" t="s">
        <v>653</v>
      </c>
      <c r="B27" s="12" t="s">
        <v>50</v>
      </c>
      <c r="C27" s="13" t="s">
        <v>561</v>
      </c>
      <c r="D27" s="13" t="s">
        <v>654</v>
      </c>
      <c r="E27" s="14" t="s">
        <v>655</v>
      </c>
      <c r="F27" s="14" t="s">
        <v>656</v>
      </c>
      <c r="G27" s="14" t="s">
        <v>657</v>
      </c>
      <c r="H27" s="13"/>
      <c r="I27" s="13" t="s">
        <v>658</v>
      </c>
      <c r="J27" s="12" t="s">
        <v>110</v>
      </c>
      <c r="K27" s="12" t="s">
        <v>102</v>
      </c>
      <c r="L27" s="14" t="s">
        <v>659</v>
      </c>
      <c r="M27" s="15"/>
    </row>
    <row r="28" customFormat="false" ht="98.25" hidden="false" customHeight="true" outlineLevel="0" collapsed="false">
      <c r="A28" s="11" t="s">
        <v>660</v>
      </c>
      <c r="B28" s="12" t="s">
        <v>50</v>
      </c>
      <c r="C28" s="13" t="s">
        <v>539</v>
      </c>
      <c r="D28" s="13" t="s">
        <v>661</v>
      </c>
      <c r="E28" s="14" t="s">
        <v>662</v>
      </c>
      <c r="F28" s="14" t="s">
        <v>663</v>
      </c>
      <c r="G28" s="14" t="s">
        <v>664</v>
      </c>
      <c r="H28" s="13"/>
      <c r="I28" s="13" t="s">
        <v>665</v>
      </c>
      <c r="J28" s="12" t="s">
        <v>110</v>
      </c>
      <c r="K28" s="12" t="s">
        <v>58</v>
      </c>
      <c r="L28" s="14" t="s">
        <v>666</v>
      </c>
      <c r="M28" s="15"/>
    </row>
    <row r="29" customFormat="false" ht="72" hidden="false" customHeight="true" outlineLevel="0" collapsed="false">
      <c r="A29" s="11" t="s">
        <v>667</v>
      </c>
      <c r="B29" s="12" t="s">
        <v>50</v>
      </c>
      <c r="C29" s="13" t="s">
        <v>597</v>
      </c>
      <c r="D29" s="13" t="s">
        <v>668</v>
      </c>
      <c r="E29" s="14" t="s">
        <v>669</v>
      </c>
      <c r="F29" s="14" t="s">
        <v>670</v>
      </c>
      <c r="G29" s="14" t="s">
        <v>671</v>
      </c>
      <c r="H29" s="13"/>
      <c r="I29" s="13" t="s">
        <v>672</v>
      </c>
      <c r="J29" s="12" t="s">
        <v>110</v>
      </c>
      <c r="K29" s="12" t="s">
        <v>58</v>
      </c>
      <c r="L29" s="14" t="s">
        <v>673</v>
      </c>
      <c r="M29" s="15"/>
    </row>
    <row r="30" customFormat="false" ht="84.75" hidden="false" customHeight="true" outlineLevel="0" collapsed="false">
      <c r="A30" s="11" t="s">
        <v>674</v>
      </c>
      <c r="B30" s="12" t="s">
        <v>50</v>
      </c>
      <c r="C30" s="13" t="s">
        <v>539</v>
      </c>
      <c r="D30" s="13" t="s">
        <v>675</v>
      </c>
      <c r="E30" s="14" t="s">
        <v>676</v>
      </c>
      <c r="F30" s="14" t="s">
        <v>677</v>
      </c>
      <c r="G30" s="14" t="s">
        <v>678</v>
      </c>
      <c r="H30" s="13"/>
      <c r="I30" s="13" t="s">
        <v>679</v>
      </c>
      <c r="J30" s="12" t="s">
        <v>110</v>
      </c>
      <c r="K30" s="12" t="s">
        <v>58</v>
      </c>
      <c r="L30" s="14" t="s">
        <v>680</v>
      </c>
      <c r="M30" s="15"/>
    </row>
    <row r="31" customFormat="false" ht="59.25" hidden="false" customHeight="true" outlineLevel="0" collapsed="false">
      <c r="A31" s="11" t="s">
        <v>681</v>
      </c>
      <c r="B31" s="12" t="s">
        <v>50</v>
      </c>
      <c r="C31" s="13" t="s">
        <v>597</v>
      </c>
      <c r="D31" s="13" t="s">
        <v>682</v>
      </c>
      <c r="E31" s="14" t="s">
        <v>683</v>
      </c>
      <c r="F31" s="14" t="s">
        <v>684</v>
      </c>
      <c r="G31" s="14" t="s">
        <v>685</v>
      </c>
      <c r="H31" s="13"/>
      <c r="I31" s="13" t="s">
        <v>686</v>
      </c>
      <c r="J31" s="12" t="s">
        <v>110</v>
      </c>
      <c r="K31" s="12" t="s">
        <v>102</v>
      </c>
      <c r="L31" s="14" t="s">
        <v>687</v>
      </c>
      <c r="M31" s="15"/>
    </row>
    <row r="32" customFormat="false" ht="84.75" hidden="false" customHeight="true" outlineLevel="0" collapsed="false">
      <c r="A32" s="11" t="s">
        <v>688</v>
      </c>
      <c r="B32" s="12" t="s">
        <v>50</v>
      </c>
      <c r="C32" s="13" t="s">
        <v>597</v>
      </c>
      <c r="D32" s="13" t="s">
        <v>689</v>
      </c>
      <c r="E32" s="14" t="s">
        <v>690</v>
      </c>
      <c r="F32" s="14" t="s">
        <v>691</v>
      </c>
      <c r="G32" s="14" t="s">
        <v>692</v>
      </c>
      <c r="H32" s="13"/>
      <c r="I32" s="13" t="s">
        <v>693</v>
      </c>
      <c r="J32" s="12" t="s">
        <v>110</v>
      </c>
      <c r="K32" s="12" t="s">
        <v>102</v>
      </c>
      <c r="L32" s="14" t="s">
        <v>694</v>
      </c>
      <c r="M32" s="15"/>
    </row>
    <row r="33" customFormat="false" ht="84.75" hidden="false" customHeight="true" outlineLevel="0" collapsed="false">
      <c r="A33" s="11" t="s">
        <v>695</v>
      </c>
      <c r="B33" s="12" t="s">
        <v>50</v>
      </c>
      <c r="C33" s="13" t="s">
        <v>561</v>
      </c>
      <c r="D33" s="13" t="s">
        <v>696</v>
      </c>
      <c r="E33" s="14" t="s">
        <v>697</v>
      </c>
      <c r="F33" s="14" t="s">
        <v>698</v>
      </c>
      <c r="G33" s="14" t="s">
        <v>699</v>
      </c>
      <c r="H33" s="13"/>
      <c r="I33" s="13" t="s">
        <v>700</v>
      </c>
      <c r="J33" s="12" t="s">
        <v>110</v>
      </c>
      <c r="K33" s="12" t="s">
        <v>58</v>
      </c>
      <c r="L33" s="14" t="s">
        <v>701</v>
      </c>
      <c r="M33" s="15"/>
    </row>
    <row r="34" customFormat="false" ht="46.5" hidden="false" customHeight="true" outlineLevel="0" collapsed="false">
      <c r="A34" s="11" t="s">
        <v>702</v>
      </c>
      <c r="B34" s="12" t="s">
        <v>50</v>
      </c>
      <c r="C34" s="13" t="s">
        <v>597</v>
      </c>
      <c r="D34" s="13" t="s">
        <v>703</v>
      </c>
      <c r="E34" s="14" t="s">
        <v>704</v>
      </c>
      <c r="F34" s="14" t="s">
        <v>705</v>
      </c>
      <c r="G34" s="14" t="s">
        <v>706</v>
      </c>
      <c r="H34" s="13"/>
      <c r="I34" s="13" t="s">
        <v>707</v>
      </c>
      <c r="J34" s="12" t="s">
        <v>110</v>
      </c>
      <c r="K34" s="12" t="s">
        <v>58</v>
      </c>
      <c r="L34" s="14" t="s">
        <v>708</v>
      </c>
      <c r="M34" s="15"/>
    </row>
    <row r="35" customFormat="false" ht="46.5" hidden="false" customHeight="true" outlineLevel="0" collapsed="false">
      <c r="A35" s="11" t="s">
        <v>709</v>
      </c>
      <c r="B35" s="12" t="s">
        <v>50</v>
      </c>
      <c r="C35" s="13" t="s">
        <v>539</v>
      </c>
      <c r="D35" s="13" t="s">
        <v>710</v>
      </c>
      <c r="E35" s="14" t="s">
        <v>711</v>
      </c>
      <c r="F35" s="14" t="s">
        <v>712</v>
      </c>
      <c r="G35" s="14" t="s">
        <v>713</v>
      </c>
      <c r="H35" s="13"/>
      <c r="I35" s="13" t="s">
        <v>714</v>
      </c>
      <c r="J35" s="12" t="s">
        <v>110</v>
      </c>
      <c r="K35" s="12" t="s">
        <v>102</v>
      </c>
      <c r="L35" s="14" t="s">
        <v>715</v>
      </c>
      <c r="M35" s="15"/>
    </row>
    <row r="36" customFormat="false" ht="46.5" hidden="false" customHeight="true" outlineLevel="0" collapsed="false">
      <c r="A36" s="11" t="s">
        <v>716</v>
      </c>
      <c r="B36" s="12" t="s">
        <v>50</v>
      </c>
      <c r="C36" s="13" t="s">
        <v>539</v>
      </c>
      <c r="D36" s="13" t="s">
        <v>717</v>
      </c>
      <c r="E36" s="14" t="s">
        <v>718</v>
      </c>
      <c r="F36" s="14" t="s">
        <v>719</v>
      </c>
      <c r="G36" s="14" t="s">
        <v>720</v>
      </c>
      <c r="H36" s="13"/>
      <c r="I36" s="13" t="s">
        <v>721</v>
      </c>
      <c r="J36" s="12" t="s">
        <v>110</v>
      </c>
      <c r="K36" s="12" t="s">
        <v>102</v>
      </c>
      <c r="L36" s="14" t="s">
        <v>722</v>
      </c>
      <c r="M36" s="15"/>
    </row>
    <row r="37" customFormat="false" ht="72" hidden="false" customHeight="true" outlineLevel="0" collapsed="false">
      <c r="A37" s="11" t="s">
        <v>723</v>
      </c>
      <c r="B37" s="12" t="s">
        <v>50</v>
      </c>
      <c r="C37" s="13" t="s">
        <v>561</v>
      </c>
      <c r="D37" s="13" t="s">
        <v>724</v>
      </c>
      <c r="E37" s="14" t="s">
        <v>725</v>
      </c>
      <c r="F37" s="14" t="s">
        <v>726</v>
      </c>
      <c r="G37" s="14" t="s">
        <v>727</v>
      </c>
      <c r="H37" s="13"/>
      <c r="I37" s="13" t="s">
        <v>728</v>
      </c>
      <c r="J37" s="12" t="s">
        <v>101</v>
      </c>
      <c r="K37" s="12" t="s">
        <v>102</v>
      </c>
      <c r="L37" s="14" t="s">
        <v>729</v>
      </c>
      <c r="M37" s="15"/>
    </row>
    <row r="38" customFormat="false" ht="59.25" hidden="false" customHeight="true" outlineLevel="0" collapsed="false">
      <c r="A38" s="11" t="s">
        <v>730</v>
      </c>
      <c r="B38" s="12" t="s">
        <v>50</v>
      </c>
      <c r="C38" s="13" t="s">
        <v>561</v>
      </c>
      <c r="D38" s="13" t="s">
        <v>731</v>
      </c>
      <c r="E38" s="14" t="s">
        <v>732</v>
      </c>
      <c r="F38" s="14" t="s">
        <v>733</v>
      </c>
      <c r="G38" s="14" t="s">
        <v>734</v>
      </c>
      <c r="H38" s="13"/>
      <c r="I38" s="13" t="s">
        <v>735</v>
      </c>
      <c r="J38" s="12" t="s">
        <v>57</v>
      </c>
      <c r="K38" s="12" t="s">
        <v>272</v>
      </c>
      <c r="L38" s="14" t="s">
        <v>736</v>
      </c>
      <c r="M38" s="15"/>
    </row>
    <row r="39" customFormat="false" ht="59.25" hidden="false" customHeight="true" outlineLevel="0" collapsed="false">
      <c r="A39" s="11" t="s">
        <v>737</v>
      </c>
      <c r="B39" s="12" t="s">
        <v>50</v>
      </c>
      <c r="C39" s="13" t="s">
        <v>561</v>
      </c>
      <c r="D39" s="13" t="s">
        <v>738</v>
      </c>
      <c r="E39" s="14" t="s">
        <v>739</v>
      </c>
      <c r="F39" s="14" t="s">
        <v>740</v>
      </c>
      <c r="G39" s="14" t="s">
        <v>741</v>
      </c>
      <c r="H39" s="13"/>
      <c r="I39" s="13" t="s">
        <v>742</v>
      </c>
      <c r="J39" s="12" t="s">
        <v>110</v>
      </c>
      <c r="K39" s="12" t="s">
        <v>102</v>
      </c>
      <c r="L39" s="14" t="s">
        <v>743</v>
      </c>
      <c r="M39" s="15"/>
    </row>
    <row r="40" customFormat="false" ht="72" hidden="false" customHeight="true" outlineLevel="0" collapsed="false">
      <c r="A40" s="11" t="s">
        <v>744</v>
      </c>
      <c r="B40" s="12" t="s">
        <v>50</v>
      </c>
      <c r="C40" s="13" t="s">
        <v>561</v>
      </c>
      <c r="D40" s="13" t="s">
        <v>745</v>
      </c>
      <c r="E40" s="14" t="s">
        <v>746</v>
      </c>
      <c r="F40" s="14" t="s">
        <v>747</v>
      </c>
      <c r="G40" s="14" t="s">
        <v>748</v>
      </c>
      <c r="H40" s="13"/>
      <c r="I40" s="13" t="s">
        <v>644</v>
      </c>
      <c r="J40" s="12" t="s">
        <v>110</v>
      </c>
      <c r="K40" s="12" t="s">
        <v>272</v>
      </c>
      <c r="L40" s="14" t="s">
        <v>749</v>
      </c>
      <c r="M40" s="15"/>
    </row>
    <row r="41" customFormat="false" ht="59.25" hidden="false" customHeight="true" outlineLevel="0" collapsed="false">
      <c r="A41" s="11" t="s">
        <v>750</v>
      </c>
      <c r="B41" s="12" t="s">
        <v>50</v>
      </c>
      <c r="C41" s="13" t="s">
        <v>561</v>
      </c>
      <c r="D41" s="13" t="s">
        <v>751</v>
      </c>
      <c r="E41" s="14" t="s">
        <v>752</v>
      </c>
      <c r="F41" s="14" t="s">
        <v>753</v>
      </c>
      <c r="G41" s="14" t="s">
        <v>754</v>
      </c>
      <c r="H41" s="13"/>
      <c r="I41" s="13" t="s">
        <v>755</v>
      </c>
      <c r="J41" s="12" t="s">
        <v>110</v>
      </c>
      <c r="K41" s="12" t="s">
        <v>102</v>
      </c>
      <c r="L41" s="14" t="s">
        <v>756</v>
      </c>
      <c r="M41" s="15"/>
    </row>
    <row r="42" customFormat="false" ht="72" hidden="false" customHeight="true" outlineLevel="0" collapsed="false">
      <c r="A42" s="11" t="s">
        <v>757</v>
      </c>
      <c r="B42" s="12" t="s">
        <v>50</v>
      </c>
      <c r="C42" s="13" t="s">
        <v>539</v>
      </c>
      <c r="D42" s="13" t="s">
        <v>758</v>
      </c>
      <c r="E42" s="14" t="s">
        <v>759</v>
      </c>
      <c r="F42" s="14" t="s">
        <v>760</v>
      </c>
      <c r="G42" s="14" t="s">
        <v>761</v>
      </c>
      <c r="H42" s="13"/>
      <c r="I42" s="13" t="s">
        <v>762</v>
      </c>
      <c r="J42" s="12" t="s">
        <v>110</v>
      </c>
      <c r="K42" s="12" t="s">
        <v>102</v>
      </c>
      <c r="L42" s="14" t="s">
        <v>763</v>
      </c>
      <c r="M42" s="15"/>
    </row>
    <row r="43" customFormat="false" ht="72" hidden="false" customHeight="true" outlineLevel="0" collapsed="false">
      <c r="A43" s="11" t="s">
        <v>764</v>
      </c>
      <c r="B43" s="12" t="s">
        <v>50</v>
      </c>
      <c r="C43" s="13" t="s">
        <v>539</v>
      </c>
      <c r="D43" s="13" t="s">
        <v>765</v>
      </c>
      <c r="E43" s="14" t="s">
        <v>766</v>
      </c>
      <c r="F43" s="14" t="s">
        <v>767</v>
      </c>
      <c r="G43" s="14" t="s">
        <v>768</v>
      </c>
      <c r="H43" s="13"/>
      <c r="I43" s="13" t="s">
        <v>769</v>
      </c>
      <c r="J43" s="12" t="s">
        <v>57</v>
      </c>
      <c r="K43" s="12" t="s">
        <v>272</v>
      </c>
      <c r="L43" s="14" t="s">
        <v>770</v>
      </c>
      <c r="M43" s="15"/>
    </row>
  </sheetData>
  <autoFilter ref="A10:M43"/>
  <mergeCells count="7">
    <mergeCell ref="A1:B4"/>
    <mergeCell ref="A6:B6"/>
    <mergeCell ref="C6:H6"/>
    <mergeCell ref="A7:B7"/>
    <mergeCell ref="C7:H7"/>
    <mergeCell ref="A8:B8"/>
    <mergeCell ref="C8:H8"/>
  </mergeCells>
  <conditionalFormatting sqref="B11:B200">
    <cfRule type="cellIs" priority="2" operator="equal" aboveAverage="0" equalAverage="0" bottom="0" percent="0" rank="0" text="" dxfId="5">
      <formula>"Başarılı"</formula>
    </cfRule>
    <cfRule type="cellIs" priority="3" operator="equal" aboveAverage="0" equalAverage="0" bottom="0" percent="0" rank="0" text="" dxfId="6">
      <formula>"Başarısız"</formula>
    </cfRule>
    <cfRule type="cellIs" priority="4" operator="equal" aboveAverage="0" equalAverage="0" bottom="0" percent="0" rank="0" text="" dxfId="7">
      <formula>"Test Ediliyor"</formula>
    </cfRule>
    <cfRule type="cellIs" priority="5" operator="equal" aboveAverage="0" equalAverage="0" bottom="0" percent="0" rank="0" text="" dxfId="8">
      <formula>"Bloke"</formula>
    </cfRule>
  </conditionalFormatting>
  <conditionalFormatting sqref="C11:C200">
    <cfRule type="cellIs" priority="6" operator="equal" aboveAverage="0" equalAverage="0" bottom="0" percent="0" rank="0" text="" dxfId="15">
      <formula>"AÇIK"</formula>
    </cfRule>
    <cfRule type="cellIs" priority="7" operator="equal" aboveAverage="0" equalAverage="0" bottom="0" percent="0" rank="0" text="" dxfId="16">
      <formula>"EKSİK"</formula>
    </cfRule>
    <cfRule type="cellIs" priority="8" operator="equal" aboveAverage="0" equalAverage="0" bottom="0" percent="0" rank="0" text="" dxfId="17">
      <formula>"RİSK"</formula>
    </cfRule>
  </conditionalFormatting>
  <conditionalFormatting sqref="K11:K200">
    <cfRule type="cellIs" priority="9" operator="equal" aboveAverage="0" equalAverage="0" bottom="0" percent="0" rank="0" text="" dxfId="9">
      <formula>"Yüksek"</formula>
    </cfRule>
  </conditionalFormatting>
  <dataValidations count="4">
    <dataValidation allowBlank="true" errorStyle="stop" operator="between" showDropDown="false" showErrorMessage="false" showInputMessage="false" sqref="B11:B200" type="list">
      <formula1>Listeler!$A$2:$A$10</formula1>
      <formula2>0</formula2>
    </dataValidation>
    <dataValidation allowBlank="true" errorStyle="stop" operator="between" showDropDown="false" showErrorMessage="false" showInputMessage="false" sqref="J11:J200" type="list">
      <formula1>Listeler!$B$2:$B$10</formula1>
      <formula2>0</formula2>
    </dataValidation>
    <dataValidation allowBlank="true" errorStyle="stop" operator="between" showDropDown="false" showErrorMessage="false" showInputMessage="false" sqref="K11:K200" type="list">
      <formula1>Listeler!$C$2:$C$10</formula1>
      <formula2>0</formula2>
    </dataValidation>
    <dataValidation allowBlank="true" errorStyle="stop" operator="between" showDropDown="false" showErrorMessage="false" showInputMessage="false" sqref="C11:C200" type="list">
      <formula1>Listeler!$D$2:$D$10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36"/>
    <col collapsed="false" customWidth="true" hidden="false" outlineLevel="0" max="4" min="4" style="0" width="18"/>
    <col collapsed="false" customWidth="true" hidden="false" outlineLevel="0" max="5" min="5" style="0" width="70"/>
    <col collapsed="false" customWidth="true" hidden="false" outlineLevel="0" max="6" min="6" style="0" width="30"/>
    <col collapsed="false" customWidth="true" hidden="false" outlineLevel="0" max="7" min="7" style="0" width="13"/>
  </cols>
  <sheetData>
    <row r="1" customFormat="false" ht="15.75" hidden="false" customHeight="true" outlineLevel="0" collapsed="false">
      <c r="A1" s="16" t="s">
        <v>771</v>
      </c>
      <c r="B1" s="16"/>
      <c r="C1" s="16"/>
      <c r="D1" s="16"/>
    </row>
    <row r="2" customFormat="false" ht="29.25" hidden="false" customHeight="true" outlineLevel="0" collapsed="false">
      <c r="A2" s="17" t="s">
        <v>772</v>
      </c>
      <c r="B2" s="17"/>
      <c r="C2" s="17"/>
      <c r="D2" s="17"/>
      <c r="E2" s="17"/>
      <c r="F2" s="17"/>
    </row>
    <row r="3" customFormat="false" ht="29.25" hidden="false" customHeight="true" outlineLevel="0" collapsed="false">
      <c r="A3" s="17"/>
      <c r="B3" s="17"/>
      <c r="C3" s="17"/>
      <c r="D3" s="17"/>
      <c r="E3" s="17"/>
      <c r="F3" s="17"/>
    </row>
    <row r="5" customFormat="false" ht="25.5" hidden="false" customHeight="true" outlineLevel="0" collapsed="false">
      <c r="A5" s="10" t="s">
        <v>773</v>
      </c>
      <c r="B5" s="10" t="s">
        <v>774</v>
      </c>
      <c r="C5" s="10" t="s">
        <v>775</v>
      </c>
      <c r="D5" s="10" t="s">
        <v>534</v>
      </c>
      <c r="E5" s="10" t="s">
        <v>537</v>
      </c>
      <c r="F5" s="10" t="s">
        <v>776</v>
      </c>
      <c r="G5" s="18"/>
    </row>
    <row r="6" customFormat="false" ht="72" hidden="false" customHeight="true" outlineLevel="0" collapsed="false">
      <c r="A6" s="12" t="s">
        <v>777</v>
      </c>
      <c r="B6" s="13" t="s">
        <v>778</v>
      </c>
      <c r="C6" s="13" t="s">
        <v>779</v>
      </c>
      <c r="D6" s="12" t="s">
        <v>780</v>
      </c>
      <c r="E6" s="14" t="s">
        <v>781</v>
      </c>
      <c r="F6" s="14" t="s">
        <v>782</v>
      </c>
    </row>
    <row r="7" customFormat="false" ht="59.25" hidden="false" customHeight="true" outlineLevel="0" collapsed="false">
      <c r="A7" s="12" t="s">
        <v>783</v>
      </c>
      <c r="B7" s="13" t="s">
        <v>784</v>
      </c>
      <c r="C7" s="13" t="s">
        <v>785</v>
      </c>
      <c r="D7" s="12" t="s">
        <v>786</v>
      </c>
      <c r="E7" s="14" t="s">
        <v>787</v>
      </c>
      <c r="F7" s="14" t="s">
        <v>788</v>
      </c>
    </row>
    <row r="8" customFormat="false" ht="46.5" hidden="false" customHeight="true" outlineLevel="0" collapsed="false">
      <c r="A8" s="12" t="s">
        <v>789</v>
      </c>
      <c r="B8" s="13" t="s">
        <v>790</v>
      </c>
      <c r="C8" s="13" t="s">
        <v>791</v>
      </c>
      <c r="D8" s="12" t="s">
        <v>786</v>
      </c>
      <c r="E8" s="14" t="s">
        <v>792</v>
      </c>
      <c r="F8" s="14" t="s">
        <v>793</v>
      </c>
    </row>
    <row r="9" customFormat="false" ht="59.25" hidden="false" customHeight="true" outlineLevel="0" collapsed="false">
      <c r="A9" s="12" t="s">
        <v>794</v>
      </c>
      <c r="B9" s="13" t="s">
        <v>795</v>
      </c>
      <c r="C9" s="13" t="s">
        <v>796</v>
      </c>
      <c r="D9" s="12" t="s">
        <v>786</v>
      </c>
      <c r="E9" s="14" t="s">
        <v>797</v>
      </c>
      <c r="F9" s="14" t="s">
        <v>798</v>
      </c>
    </row>
    <row r="10" customFormat="false" ht="59.25" hidden="false" customHeight="true" outlineLevel="0" collapsed="false">
      <c r="A10" s="12" t="s">
        <v>799</v>
      </c>
      <c r="B10" s="13" t="s">
        <v>800</v>
      </c>
      <c r="C10" s="13" t="s">
        <v>801</v>
      </c>
      <c r="D10" s="12" t="s">
        <v>786</v>
      </c>
      <c r="E10" s="14" t="s">
        <v>802</v>
      </c>
      <c r="F10" s="14" t="s">
        <v>803</v>
      </c>
    </row>
    <row r="11" customFormat="false" ht="46.5" hidden="false" customHeight="true" outlineLevel="0" collapsed="false">
      <c r="A11" s="12" t="s">
        <v>804</v>
      </c>
      <c r="B11" s="13" t="s">
        <v>239</v>
      </c>
      <c r="C11" s="13" t="s">
        <v>805</v>
      </c>
      <c r="D11" s="12" t="s">
        <v>786</v>
      </c>
      <c r="E11" s="14" t="s">
        <v>806</v>
      </c>
      <c r="F11" s="14" t="s">
        <v>807</v>
      </c>
    </row>
    <row r="12" customFormat="false" ht="72" hidden="false" customHeight="true" outlineLevel="0" collapsed="false">
      <c r="A12" s="12" t="s">
        <v>808</v>
      </c>
      <c r="B12" s="13" t="s">
        <v>118</v>
      </c>
      <c r="C12" s="13" t="s">
        <v>809</v>
      </c>
      <c r="D12" s="12" t="s">
        <v>786</v>
      </c>
      <c r="E12" s="14" t="s">
        <v>810</v>
      </c>
      <c r="F12" s="14" t="s">
        <v>811</v>
      </c>
    </row>
    <row r="13" customFormat="false" ht="46.5" hidden="false" customHeight="true" outlineLevel="0" collapsed="false">
      <c r="A13" s="12" t="s">
        <v>812</v>
      </c>
      <c r="B13" s="13" t="s">
        <v>813</v>
      </c>
      <c r="C13" s="13" t="s">
        <v>814</v>
      </c>
      <c r="D13" s="12" t="s">
        <v>786</v>
      </c>
      <c r="E13" s="14" t="s">
        <v>815</v>
      </c>
      <c r="F13" s="14" t="s">
        <v>816</v>
      </c>
    </row>
    <row r="14" customFormat="false" ht="46.5" hidden="false" customHeight="true" outlineLevel="0" collapsed="false">
      <c r="A14" s="12" t="s">
        <v>817</v>
      </c>
      <c r="B14" s="13" t="s">
        <v>818</v>
      </c>
      <c r="C14" s="13" t="s">
        <v>819</v>
      </c>
      <c r="D14" s="12" t="s">
        <v>786</v>
      </c>
      <c r="E14" s="14" t="s">
        <v>820</v>
      </c>
      <c r="F14" s="14" t="s">
        <v>821</v>
      </c>
    </row>
    <row r="15" customFormat="false" ht="46.5" hidden="false" customHeight="true" outlineLevel="0" collapsed="false">
      <c r="A15" s="12" t="s">
        <v>822</v>
      </c>
      <c r="B15" s="13" t="s">
        <v>210</v>
      </c>
      <c r="C15" s="13" t="s">
        <v>823</v>
      </c>
      <c r="D15" s="12" t="s">
        <v>780</v>
      </c>
      <c r="E15" s="14" t="s">
        <v>824</v>
      </c>
      <c r="F15" s="14" t="s">
        <v>825</v>
      </c>
    </row>
    <row r="16" customFormat="false" ht="72" hidden="false" customHeight="true" outlineLevel="0" collapsed="false">
      <c r="A16" s="12" t="s">
        <v>826</v>
      </c>
      <c r="B16" s="13" t="s">
        <v>827</v>
      </c>
      <c r="C16" s="13" t="s">
        <v>828</v>
      </c>
      <c r="D16" s="12" t="s">
        <v>780</v>
      </c>
      <c r="E16" s="14" t="s">
        <v>829</v>
      </c>
      <c r="F16" s="14" t="s">
        <v>830</v>
      </c>
    </row>
    <row r="17" customFormat="false" ht="46.5" hidden="false" customHeight="true" outlineLevel="0" collapsed="false">
      <c r="A17" s="12" t="s">
        <v>831</v>
      </c>
      <c r="B17" s="13" t="s">
        <v>832</v>
      </c>
      <c r="C17" s="13" t="s">
        <v>833</v>
      </c>
      <c r="D17" s="12" t="s">
        <v>780</v>
      </c>
      <c r="E17" s="14" t="s">
        <v>834</v>
      </c>
      <c r="F17" s="14" t="s">
        <v>835</v>
      </c>
    </row>
    <row r="18" customFormat="false" ht="46.5" hidden="false" customHeight="true" outlineLevel="0" collapsed="false">
      <c r="A18" s="12" t="s">
        <v>836</v>
      </c>
      <c r="B18" s="13" t="s">
        <v>837</v>
      </c>
      <c r="C18" s="13" t="s">
        <v>838</v>
      </c>
      <c r="D18" s="12" t="s">
        <v>839</v>
      </c>
      <c r="E18" s="14" t="s">
        <v>840</v>
      </c>
      <c r="F18" s="14" t="s">
        <v>841</v>
      </c>
    </row>
    <row r="19" customFormat="false" ht="46.5" hidden="false" customHeight="true" outlineLevel="0" collapsed="false">
      <c r="A19" s="12" t="s">
        <v>842</v>
      </c>
      <c r="B19" s="13" t="s">
        <v>843</v>
      </c>
      <c r="C19" s="13" t="s">
        <v>844</v>
      </c>
      <c r="D19" s="12" t="s">
        <v>786</v>
      </c>
      <c r="E19" s="14" t="s">
        <v>845</v>
      </c>
      <c r="F19" s="14" t="s">
        <v>846</v>
      </c>
    </row>
    <row r="20" customFormat="false" ht="46.5" hidden="false" customHeight="true" outlineLevel="0" collapsed="false">
      <c r="A20" s="12" t="s">
        <v>847</v>
      </c>
      <c r="B20" s="13" t="s">
        <v>848</v>
      </c>
      <c r="C20" s="13" t="s">
        <v>849</v>
      </c>
      <c r="D20" s="12" t="s">
        <v>850</v>
      </c>
      <c r="E20" s="14" t="s">
        <v>851</v>
      </c>
      <c r="F20" s="14" t="s">
        <v>852</v>
      </c>
    </row>
    <row r="21" customFormat="false" ht="72" hidden="false" customHeight="true" outlineLevel="0" collapsed="false">
      <c r="A21" s="12" t="s">
        <v>853</v>
      </c>
      <c r="B21" s="13" t="s">
        <v>854</v>
      </c>
      <c r="C21" s="13" t="s">
        <v>855</v>
      </c>
      <c r="D21" s="12" t="s">
        <v>780</v>
      </c>
      <c r="E21" s="14" t="s">
        <v>856</v>
      </c>
      <c r="F21" s="14" t="s">
        <v>857</v>
      </c>
    </row>
    <row r="22" customFormat="false" ht="59.25" hidden="false" customHeight="true" outlineLevel="0" collapsed="false">
      <c r="A22" s="12" t="s">
        <v>858</v>
      </c>
      <c r="B22" s="13" t="s">
        <v>859</v>
      </c>
      <c r="C22" s="13" t="s">
        <v>860</v>
      </c>
      <c r="D22" s="12" t="s">
        <v>780</v>
      </c>
      <c r="E22" s="14" t="s">
        <v>861</v>
      </c>
      <c r="F22" s="14" t="s">
        <v>862</v>
      </c>
    </row>
    <row r="23" customFormat="false" ht="59.25" hidden="false" customHeight="true" outlineLevel="0" collapsed="false">
      <c r="A23" s="12" t="s">
        <v>863</v>
      </c>
      <c r="B23" s="13" t="s">
        <v>864</v>
      </c>
      <c r="C23" s="13" t="s">
        <v>865</v>
      </c>
      <c r="D23" s="12" t="s">
        <v>780</v>
      </c>
      <c r="E23" s="14" t="s">
        <v>866</v>
      </c>
      <c r="F23" s="14" t="s">
        <v>867</v>
      </c>
    </row>
    <row r="24" customFormat="false" ht="46.5" hidden="false" customHeight="true" outlineLevel="0" collapsed="false">
      <c r="A24" s="12" t="s">
        <v>868</v>
      </c>
      <c r="B24" s="13" t="s">
        <v>869</v>
      </c>
      <c r="C24" s="13" t="s">
        <v>870</v>
      </c>
      <c r="D24" s="12" t="s">
        <v>839</v>
      </c>
      <c r="E24" s="14" t="s">
        <v>871</v>
      </c>
      <c r="F24" s="14" t="s">
        <v>872</v>
      </c>
    </row>
    <row r="25" customFormat="false" ht="72" hidden="false" customHeight="true" outlineLevel="0" collapsed="false">
      <c r="A25" s="12" t="s">
        <v>873</v>
      </c>
      <c r="B25" s="13" t="s">
        <v>874</v>
      </c>
      <c r="C25" s="13" t="s">
        <v>875</v>
      </c>
      <c r="D25" s="12" t="s">
        <v>780</v>
      </c>
      <c r="E25" s="14" t="s">
        <v>876</v>
      </c>
      <c r="F25" s="14" t="s">
        <v>877</v>
      </c>
    </row>
    <row r="26" customFormat="false" ht="59.25" hidden="false" customHeight="true" outlineLevel="0" collapsed="false">
      <c r="A26" s="12" t="s">
        <v>878</v>
      </c>
      <c r="B26" s="13" t="s">
        <v>879</v>
      </c>
      <c r="C26" s="13" t="s">
        <v>880</v>
      </c>
      <c r="D26" s="12" t="s">
        <v>786</v>
      </c>
      <c r="E26" s="14" t="s">
        <v>881</v>
      </c>
      <c r="F26" s="14" t="s">
        <v>882</v>
      </c>
    </row>
    <row r="27" customFormat="false" ht="46.5" hidden="false" customHeight="true" outlineLevel="0" collapsed="false">
      <c r="A27" s="12" t="s">
        <v>883</v>
      </c>
      <c r="B27" s="13" t="s">
        <v>884</v>
      </c>
      <c r="C27" s="13" t="s">
        <v>885</v>
      </c>
      <c r="D27" s="12" t="s">
        <v>780</v>
      </c>
      <c r="E27" s="14" t="s">
        <v>886</v>
      </c>
      <c r="F27" s="14" t="s">
        <v>887</v>
      </c>
    </row>
    <row r="28" customFormat="false" ht="33.75" hidden="false" customHeight="true" outlineLevel="0" collapsed="false">
      <c r="A28" s="12" t="s">
        <v>888</v>
      </c>
      <c r="B28" s="13" t="s">
        <v>889</v>
      </c>
      <c r="C28" s="13" t="s">
        <v>890</v>
      </c>
      <c r="D28" s="12" t="s">
        <v>780</v>
      </c>
      <c r="E28" s="14" t="s">
        <v>891</v>
      </c>
      <c r="F28" s="14" t="s">
        <v>892</v>
      </c>
    </row>
    <row r="29" customFormat="false" ht="46.5" hidden="false" customHeight="true" outlineLevel="0" collapsed="false">
      <c r="A29" s="12" t="s">
        <v>893</v>
      </c>
      <c r="B29" s="13" t="s">
        <v>894</v>
      </c>
      <c r="C29" s="13" t="s">
        <v>895</v>
      </c>
      <c r="D29" s="12" t="s">
        <v>850</v>
      </c>
      <c r="E29" s="14" t="s">
        <v>896</v>
      </c>
      <c r="F29" s="14" t="s">
        <v>897</v>
      </c>
    </row>
    <row r="30" customFormat="false" ht="72" hidden="false" customHeight="true" outlineLevel="0" collapsed="false">
      <c r="A30" s="12" t="s">
        <v>898</v>
      </c>
      <c r="B30" s="13" t="s">
        <v>899</v>
      </c>
      <c r="C30" s="13" t="s">
        <v>900</v>
      </c>
      <c r="D30" s="12" t="s">
        <v>786</v>
      </c>
      <c r="E30" s="14" t="s">
        <v>901</v>
      </c>
      <c r="F30" s="14" t="s">
        <v>902</v>
      </c>
    </row>
    <row r="31" customFormat="false" ht="33.75" hidden="false" customHeight="true" outlineLevel="0" collapsed="false">
      <c r="A31" s="12" t="s">
        <v>903</v>
      </c>
      <c r="B31" s="13" t="s">
        <v>904</v>
      </c>
      <c r="C31" s="13" t="s">
        <v>905</v>
      </c>
      <c r="D31" s="12" t="s">
        <v>786</v>
      </c>
      <c r="E31" s="14" t="s">
        <v>906</v>
      </c>
      <c r="F31" s="14" t="s">
        <v>907</v>
      </c>
    </row>
    <row r="32" customFormat="false" ht="33.75" hidden="false" customHeight="true" outlineLevel="0" collapsed="false">
      <c r="A32" s="12" t="s">
        <v>908</v>
      </c>
      <c r="B32" s="13" t="s">
        <v>909</v>
      </c>
      <c r="C32" s="13" t="s">
        <v>910</v>
      </c>
      <c r="D32" s="12" t="s">
        <v>786</v>
      </c>
      <c r="E32" s="14" t="s">
        <v>911</v>
      </c>
      <c r="F32" s="14" t="s">
        <v>912</v>
      </c>
    </row>
    <row r="33" customFormat="false" ht="33.75" hidden="false" customHeight="true" outlineLevel="0" collapsed="false">
      <c r="A33" s="12" t="s">
        <v>913</v>
      </c>
      <c r="B33" s="13" t="s">
        <v>914</v>
      </c>
      <c r="C33" s="13" t="s">
        <v>915</v>
      </c>
      <c r="D33" s="12" t="s">
        <v>786</v>
      </c>
      <c r="E33" s="14" t="s">
        <v>916</v>
      </c>
      <c r="F33" s="14" t="s">
        <v>917</v>
      </c>
    </row>
    <row r="34" customFormat="false" ht="46.5" hidden="false" customHeight="true" outlineLevel="0" collapsed="false">
      <c r="A34" s="12" t="s">
        <v>918</v>
      </c>
      <c r="B34" s="13" t="s">
        <v>919</v>
      </c>
      <c r="C34" s="13" t="s">
        <v>920</v>
      </c>
      <c r="D34" s="12" t="s">
        <v>780</v>
      </c>
      <c r="E34" s="14" t="s">
        <v>921</v>
      </c>
      <c r="F34" s="14" t="s">
        <v>922</v>
      </c>
    </row>
    <row r="35" customFormat="false" ht="33.75" hidden="false" customHeight="true" outlineLevel="0" collapsed="false">
      <c r="A35" s="12" t="s">
        <v>923</v>
      </c>
      <c r="B35" s="13" t="s">
        <v>924</v>
      </c>
      <c r="C35" s="13" t="s">
        <v>925</v>
      </c>
      <c r="D35" s="12" t="s">
        <v>786</v>
      </c>
      <c r="E35" s="14" t="s">
        <v>926</v>
      </c>
      <c r="F35" s="14" t="s">
        <v>927</v>
      </c>
    </row>
    <row r="36" customFormat="false" ht="46.5" hidden="false" customHeight="true" outlineLevel="0" collapsed="false">
      <c r="A36" s="12" t="s">
        <v>928</v>
      </c>
      <c r="B36" s="13" t="s">
        <v>929</v>
      </c>
      <c r="C36" s="13" t="s">
        <v>930</v>
      </c>
      <c r="D36" s="12" t="s">
        <v>786</v>
      </c>
      <c r="E36" s="14" t="s">
        <v>931</v>
      </c>
      <c r="F36" s="14" t="s">
        <v>932</v>
      </c>
    </row>
  </sheetData>
  <autoFilter ref="A5:F36"/>
  <mergeCells count="2">
    <mergeCell ref="A1:D1"/>
    <mergeCell ref="A2:F3"/>
  </mergeCells>
  <conditionalFormatting sqref="D6:D100">
    <cfRule type="cellIs" priority="2" operator="equal" aboveAverage="0" equalAverage="0" bottom="0" percent="0" rank="0" text="" dxfId="5">
      <formula>"Eşleşiyor"</formula>
    </cfRule>
    <cfRule type="cellIs" priority="3" operator="equal" aboveAverage="0" equalAverage="0" bottom="0" percent="0" rank="0" text="" dxfId="6">
      <formula>"BULUNAMADI"</formula>
    </cfRule>
    <cfRule type="cellIs" priority="4" operator="equal" aboveAverage="0" equalAverage="0" bottom="0" percent="0" rank="0" text="" dxfId="8">
      <formula>"ÇELİŞKİLİ"</formula>
    </cfRule>
    <cfRule type="cellIs" priority="5" operator="equal" aboveAverage="0" equalAverage="0" bottom="0" percent="0" rank="0" text="" dxfId="24">
      <formula>"KULLANILMIYOR"</formula>
    </cfRule>
    <cfRule type="cellIs" priority="6" operator="equal" aboveAverage="0" equalAverage="0" bottom="0" percent="0" rank="0" text="" dxfId="25">
      <formula>"TEYİT BEKLİYOR"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3" min="1" style="0" width="20"/>
    <col collapsed="false" customWidth="true" hidden="false" outlineLevel="0" max="4" min="4" style="0" width="13"/>
  </cols>
  <sheetData>
    <row r="1" customFormat="false" ht="15" hidden="false" customHeight="true" outlineLevel="0" collapsed="false">
      <c r="A1" s="19" t="s">
        <v>37</v>
      </c>
      <c r="B1" s="19" t="s">
        <v>45</v>
      </c>
      <c r="C1" s="19" t="s">
        <v>46</v>
      </c>
      <c r="D1" s="19" t="s">
        <v>534</v>
      </c>
      <c r="E1" s="20" t="s">
        <v>933</v>
      </c>
    </row>
    <row r="2" customFormat="false" ht="15" hidden="false" customHeight="true" outlineLevel="0" collapsed="false">
      <c r="A2" s="18" t="s">
        <v>50</v>
      </c>
      <c r="B2" s="18" t="s">
        <v>110</v>
      </c>
      <c r="C2" s="18" t="s">
        <v>58</v>
      </c>
      <c r="D2" s="18" t="s">
        <v>539</v>
      </c>
    </row>
    <row r="3" customFormat="false" ht="15" hidden="false" customHeight="true" outlineLevel="0" collapsed="false">
      <c r="A3" s="18" t="s">
        <v>934</v>
      </c>
      <c r="B3" s="18" t="s">
        <v>935</v>
      </c>
      <c r="C3" s="18" t="s">
        <v>102</v>
      </c>
      <c r="D3" s="18" t="s">
        <v>597</v>
      </c>
    </row>
    <row r="4" customFormat="false" ht="15" hidden="false" customHeight="true" outlineLevel="0" collapsed="false">
      <c r="A4" s="18" t="s">
        <v>12</v>
      </c>
      <c r="B4" s="18" t="s">
        <v>57</v>
      </c>
      <c r="C4" s="18" t="s">
        <v>272</v>
      </c>
      <c r="D4" s="18" t="s">
        <v>561</v>
      </c>
    </row>
    <row r="5" customFormat="false" ht="15" hidden="false" customHeight="true" outlineLevel="0" collapsed="false">
      <c r="A5" s="18" t="s">
        <v>16</v>
      </c>
      <c r="B5" s="18" t="s">
        <v>101</v>
      </c>
    </row>
    <row r="6" customFormat="false" ht="15" hidden="false" customHeight="true" outlineLevel="0" collapsed="false">
      <c r="A6" s="18" t="s">
        <v>936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2026-09-15T14:25:49Z</dcterms:created>
  <dc:creator>openpyxl</dc:creator>
  <dc:description/>
  <dc:language>en-US</dc:language>
  <cp:lastModifiedBy>Seyfullah Akgün</cp:lastModifiedBy>
  <dcterms:modified xsi:type="dcterms:W3CDTF">2026-09-29T12:55:49Z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