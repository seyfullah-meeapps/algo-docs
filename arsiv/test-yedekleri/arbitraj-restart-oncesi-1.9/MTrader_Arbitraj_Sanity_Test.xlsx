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Ayar Rehberi" sheetId="4" r:id="rId4"/>
    <sheet name="Listeler" sheetId="5" state="hidden" r:id="rId5"/>
  </sheets>
  <definedNames>
    <definedName name="_xlnm._FilterDatabase" localSheetId="1" hidden="1">'Arbitraj Senaryoları'!$A$18:$M$75</definedName>
    <definedName name="_xlnm._FilterDatabase" localSheetId="0" hidden="1">Genel!$A$19:$M$24</definedName>
    <definedName name="_xlnm._FilterDatabase" localSheetId="3" hidden="1">'Ayar Rehberi'!$A$5:$F$43</definedName>
    <definedName name="_xlnm._FilterDatabase" localSheetId="2" hidden="1">Regresyon!$A$10:$M$25</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<sst xmlns="http://schemas.openxmlformats.org/spreadsheetml/2006/main" count="1270" uniqueCount="941">
  <si>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</si>
  <si>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</si>
  <si>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</si>
  <si>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</si>
  <si>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</si>
  <si>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</si>
  <si>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</si>
  <si>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</si>
  <si>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</si>
  <si>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</si>
  <si>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</si>
  <si>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</si>
  <si>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</si>
  <si>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</si>
  <si>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</si>
  <si>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</si>
  <si>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</si>
  <si>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</si>
  <si>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</si>
  <si>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</si>
  <si>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</si>
  <si>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</si>
  <si>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</si>
  <si>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</si>
  <si>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</si>
  <si>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</si>
  <si>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</si>
  <si>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</si>
  <si>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</si>
  <si>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</si>
  <si>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</si>
  <si>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</si>
  <si>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</si>
  <si>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</si>
  <si>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</si>
  <si>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</si>
  <si>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</si>
  <si>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</si>
  <si>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</si>
  <si>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</si>
  <si>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</si>
  <si>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</si>
  <si>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</si>
  <si>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</si>
  <si>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</si>
  <si>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</si>
  <si>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</si>
  <si>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</si>
  <si>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</si>
  <si>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</si>
  <si>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</si>
  <si>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</si>
  <si>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</si>
  <si>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</si>
  <si>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</si>
  <si>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</si>
  <si>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</si>
  <si>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</si>
  <si>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</si>
  <si>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</si>
  <si>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</si>
  <si>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</si>
  <si>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</si>
  <si>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</si>
  <si>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</si>
  <si>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</si>
  <si>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</si>
  <si>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</si>
  <si>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</si>
  <si>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</si>
  <si>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</si>
  <si>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</si>
  <si>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</si>
  <si>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</si>
  <si>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</si>
  <si>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</si>
  <si>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</si>
  <si>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</si>
  <si>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</si>
  <si>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</si>
  <si>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</si>
  <si>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</si>
  <si>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</si>
  <si>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</si>
  <si>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</si>
  <si>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</si>
  <si>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</si>
  <si>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</si>
  <si>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</si>
  <si>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</si>
  <si>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</si>
  <si>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</si>
  <si>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</si>
  <si>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</si>
  <si>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</si>
  <si>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</si>
  <si>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</si>
  <si>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</si>
  <si>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</si>
  <si>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</si>
  <si>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</si>
  <si>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</si>
  <si>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</si>
  <si>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TC-ARB-A01</t>
  </si>
  <si>
    <t/>
  </si>
  <si>
    <t>Pasif açılış emrinin doğru fiyattan tahtaya konması</t>
  </si>
  <si>
    <t/>
  </si>
  <si>
    <t/>
  </si>
  <si>
    <t>Tahtada 1 kontratlık vadeli SATIŞ emri durur. Fiyatı, piyasadaki faizin %35 olduğu vadeli fiyata eşittir (fiyat adımı yuvarlaması hariç). Faiz henüz %35'e ulaşmadığı için emir dolmaz ve spot emri gönderilmez.</t>
  </si>
  <si>
    <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</si>
  <si>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</si>
  <si>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</si>
  <si>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</si>
  <si>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</si>
  <si>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
  </si>
  <si>
    <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</si>
  <si>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</si>
  <si>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</si>
  <si>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</si>
  <si>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</si>
  <si>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
  </si>
  <si>
    <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</si>
  <si>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</si>
  <si>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</si>
  <si>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</si>
  <si>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</si>
  <si>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</si>
  <si>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</si>
  <si>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</si>
  <si>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</si>
  <si>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</si>
  <si>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</si>
  <si>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</si>
  <si>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
  </si>
  <si>
    <t>TC-ARB-A06</t>
  </si>
  <si>
    <t>Piyasadaki faiz %29'a inince pozisyonun kapatılması</t>
  </si>
  <si>
    <t>RA. En az 1 açık paket var.</t>
  </si>
  <si>
    <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</si>
  <si>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</si>
  <si>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</si>
  <si>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</si>
  <si>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</si>
  <si>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</si>
  <si>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</si>
  <si>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</si>
  <si>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
  </si>
  <si>
    <t>TC-ARB-A08</t>
  </si>
  <si>
    <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</si>
  <si>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</si>
  <si>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</si>
  <si>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
  </si>
  <si>
    <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</si>
  <si>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</si>
  <si>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</si>
  <si>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</si>
  <si>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</si>
  <si>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
  </si>
  <si>
    <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</si>
  <si>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</si>
  <si>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</si>
  <si>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</si>
  <si>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</si>
  <si>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</si>
  <si>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
  </si>
  <si>
    <t>TC-ARB-A11</t>
  </si>
  <si>
    <t>Stratejinin 10:00'dan önce başlatılması</t>
  </si>
  <si>
    <t>RA. Saat 09:40–10:00 arası (açılış seansı).</t>
  </si>
  <si>
    <t/>
  </si>
  <si>
    <t>Strateji 10:00'a kadar bekler ve sürekli müzayede başlayınca kendiliğinden emir koymaya başlar.</t>
  </si>
  <si>
    <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</si>
  <si>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</si>
  <si>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</si>
  <si>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</si>
  <si>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</si>
  <si>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</si>
  <si>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</si>
  <si>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</si>
  <si>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</si>
  <si>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</si>
  <si>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</si>
  <si>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</si>
  <si>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
  </si>
  <si>
    <t>TC-ARB-B01</t>
  </si>
  <si>
    <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</si>
  <si>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</si>
  <si>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</si>
  <si>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</si>
  <si>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</si>
  <si>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</si>
  <si>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</si>
  <si>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</si>
  <si>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</si>
  <si>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</si>
  <si>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</si>
  <si>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</si>
  <si>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</si>
  <si>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</si>
  <si>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</si>
  <si>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</si>
  <si>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</si>
  <si>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
  </si>
  <si>
    <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</si>
  <si>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</si>
  <si>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</si>
  <si>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</si>
  <si>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</si>
  <si>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</si>
  <si>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
  </si>
  <si>
    <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</si>
  <si>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</si>
  <si>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</si>
  <si>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</si>
  <si>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</si>
  <si>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</si>
  <si>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
  </si>
  <si>
    <t/>
  </si>
  <si>
    <t>TC-ARB-B06</t>
  </si>
  <si>
    <t/>
  </si>
  <si>
    <t>RA + Stop Loss Tipi: Aktif.</t>
  </si>
  <si>
    <t>1. Stop Loss'u Aktif yap ve kaydet
2. Bir açılışın vadeli bacağının dolmasını bekle
3. Spot emrinin tipini ve dolma süresini kaydet</t>
  </si>
  <si>
    <t/>
  </si>
  <si>
    <t/>
  </si>
  <si>
    <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</si>
  <si>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</si>
  <si>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</si>
  <si>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</si>
  <si>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</si>
  <si>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</si>
  <si>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
  </si>
  <si>
    <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</si>
  <si>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</si>
  <si>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</si>
  <si>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</si>
  <si>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</si>
  <si>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</si>
  <si>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
  </si>
  <si>
    <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</si>
  <si>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</si>
  <si>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</si>
  <si>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</si>
  <si>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</si>
  <si>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</si>
  <si>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
  </si>
  <si>
    <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</si>
  <si>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</si>
  <si>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</si>
  <si>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</si>
  <si>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</si>
  <si>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</si>
  <si>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
  </si>
  <si>
    <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</si>
  <si>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</si>
  <si>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</si>
  <si>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</si>
  <si>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</si>
  <si>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</si>
  <si>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
  </si>
  <si>
    <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</si>
  <si>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</si>
  <si>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</si>
  <si>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</si>
  <si>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</si>
  <si>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</si>
  <si>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
  </si>
  <si>
    <t/>
  </si>
  <si>
    <t>TC-ARB-B13</t>
  </si>
  <si>
    <t>Kanal Fix ile emir gönderimi</t>
  </si>
  <si>
    <t/>
  </si>
  <si>
    <t>1. Kanal'ı Fix yap ve kaydet
2. Bir açılış gerçekleşmesini bekle
3. Emir Geçmişi'nde vadeli ve spot emirleri kontrol et</t>
  </si>
  <si>
    <t/>
  </si>
  <si>
    <t/>
  </si>
  <si>
    <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</si>
  <si>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</si>
  <si>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</si>
  <si>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</si>
  <si>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</si>
  <si>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</si>
  <si>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
  </si>
  <si>
    <t>TC-ARB-C01</t>
  </si>
  <si>
    <t/>
  </si>
  <si>
    <t>Spread Arbitraj — Satım tarafı</t>
  </si>
  <si>
    <t>Spread Arbitraj çifti; Vadeli Açılış Tarafı: Satım, Açılış Kademe ve Net Kar Kademe dolu; diğerleri RA.</t>
  </si>
  <si>
    <t/>
  </si>
  <si>
    <t>Fark Açılış Kademe'ye eşit ya da üstündeyken vadeli satılır, spot alınır. Kâr Net Kar Kademe'ye ulaşınca (eşitlik dahil) pozisyon kapanır. Faiz oranı kullanılmaz.</t>
  </si>
  <si>
    <t/>
  </si>
  <si>
    <t/>
  </si>
  <si>
    <t>TC-ARB-C02</t>
  </si>
  <si>
    <t>Spread Arbitraj — Alım tarafı</t>
  </si>
  <si>
    <t>Spread Arbitraj çifti; Vadeli Açılış Tarafı: Alım, Açığa Satış: Serbest, Açılış Kademe ve Net Kar Kademe dolu.</t>
  </si>
  <si>
    <t/>
  </si>
  <si>
    <t>Açığa Satış Serbest iken fark Açılış Kademe'ye eşit ya da altındayken vadeli alınır, spot satılır; kapanış Net Kar Kademe'de yapılır. Açığa Satış Yasak iken hiç emir gönderilmez.</t>
  </si>
  <si>
    <t/>
  </si>
  <si>
    <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</si>
  <si>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</si>
  <si>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</si>
  <si>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</si>
  <si>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</si>
  <si>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</si>
  <si>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
  </si>
  <si>
    <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</si>
  <si>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</si>
  <si>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</si>
  <si>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</si>
  <si>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</si>
  <si>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</si>
  <si>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
  </si>
  <si>
    <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</si>
  <si>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</si>
  <si>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</si>
  <si>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</si>
  <si>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</si>
  <si>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</si>
  <si>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
  </si>
  <si>
    <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</si>
  <si>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</si>
  <si>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</si>
  <si>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</si>
  <si>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</si>
  <si>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</si>
  <si>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
  </si>
  <si>
    <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</si>
  <si>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</si>
  <si>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</si>
  <si>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</si>
  <si>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</si>
  <si>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</si>
  <si>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
  </si>
  <si>
    <t/>
  </si>
  <si>
    <t>TC-ARB-D01</t>
  </si>
  <si>
    <t/>
  </si>
  <si>
    <t>Teorik fiyatın doğrulanması</t>
  </si>
  <si>
    <t>Faiz Arbitraj çifti; Baz Faiz 40; referans değerler not edilmiş.</t>
  </si>
  <si>
    <t/>
  </si>
  <si>
    <t>Ekrandaki teorik fiyat elle hesaplanan değerle aynıdır (kuruş yuvarlaması hariç).</t>
  </si>
  <si>
    <t/>
  </si>
  <si>
    <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</si>
  <si>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</si>
  <si>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</si>
  <si>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</si>
  <si>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</si>
  <si>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</si>
  <si>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
  </si>
  <si>
    <t/>
  </si>
  <si>
    <t>TC-ARB-D03</t>
  </si>
  <si>
    <t>Vadeye kalan gün hesabı</t>
  </si>
  <si>
    <t>1. Takip tablosunda V.K.G.'yi kaydet
2. Vade tarihine kadar takvim gününü elle say
3. Bugünden ve vade tarihinden sonraki ikişer iş gününü (hafta sonu ve resmi tatiller hariç) not et</t>
  </si>
  <si>
    <t/>
  </si>
  <si>
    <t/>
  </si>
  <si>
    <t>TC-ARB-D04</t>
  </si>
  <si>
    <t>Kâr hesabının doğrulanması</t>
  </si>
  <si>
    <t/>
  </si>
  <si>
    <t/>
  </si>
  <si>
    <t/>
  </si>
  <si>
    <t/>
  </si>
  <si>
    <t/>
  </si>
  <si>
    <t>TC-ARB-E01</t>
  </si>
  <si>
    <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</si>
  <si>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</si>
  <si>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</si>
  <si>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</si>
  <si>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
  </si>
  <si>
    <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</si>
  <si>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</si>
  <si>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</si>
  <si>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</si>
  <si>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</si>
  <si>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</si>
  <si>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
  </si>
  <si>
    <t>TC-ARB-E03</t>
  </si>
  <si>
    <t/>
  </si>
  <si>
    <t>RA; gün sonunda açık paketi kalan bir çift (bitiş saatinde kapanmamış).</t>
  </si>
  <si>
    <t/>
  </si>
  <si>
    <t/>
  </si>
  <si>
    <t/>
  </si>
  <si>
    <t/>
  </si>
  <si>
    <t>TC-ARB-E04</t>
  </si>
  <si>
    <t>Sürekli müzayede dışına çıkılınca durma</t>
  </si>
  <si>
    <t>RA + Bitiş saati 18:30.</t>
  </si>
  <si>
    <t/>
  </si>
  <si>
    <t>Spot bacağın sürekli müzayedesi bittiği an strateji durur ve vadeli emirler iptal edilir. Seans tekrar başlasa bile strateji kendiliğinden devam etmez.</t>
  </si>
  <si>
    <t/>
  </si>
  <si>
    <t/>
  </si>
  <si>
    <t>TC-ARB-E05</t>
  </si>
  <si>
    <t>Spotun tavan veya tabana değmesi</t>
  </si>
  <si>
    <t>RA. Gün içinde tavan/taban fiyatına yaklaşan bir hisse (fırsat bulunursa).</t>
  </si>
  <si>
    <t/>
  </si>
  <si>
    <t>Strateji kendini durdurur ve vadeli emirler iptal edilir.</t>
  </si>
  <si>
    <t/>
  </si>
  <si>
    <t>Az</t>
  </si>
  <si>
    <t>TC-ARB-E06</t>
  </si>
  <si>
    <t>Borsa / PTRM reddinde stratejinin durması</t>
  </si>
  <si>
    <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</si>
  <si>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</si>
  <si>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</si>
  <si>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
  </si>
  <si>
    <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</si>
  <si>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</si>
  <si>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</si>
  <si>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</si>
  <si>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</si>
  <si>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
  </si>
  <si>
    <t/>
  </si>
  <si>
    <t>TC-ARB-F01</t>
  </si>
  <si>
    <t/>
  </si>
  <si>
    <t>Çift ekleme (Faiz / Spread)</t>
  </si>
  <si>
    <t/>
  </si>
  <si>
    <t/>
  </si>
  <si>
    <t/>
  </si>
  <si>
    <t/>
  </si>
  <si>
    <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</si>
  <si>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</si>
  <si>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</si>
  <si>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</si>
  <si>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</si>
  <si>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</si>
  <si>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
  </si>
  <si>
    <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</si>
  <si>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</si>
  <si>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</si>
  <si>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</si>
  <si>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</si>
  <si>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</si>
  <si>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</si>
  <si>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</si>
  <si>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</si>
  <si>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</si>
  <si>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</si>
  <si>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</si>
  <si>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
  </si>
  <si>
    <t/>
  </si>
  <si>
    <t>TC-ARB-F05</t>
  </si>
  <si>
    <t>Ayarların kaydedilip geri okunması</t>
  </si>
  <si>
    <t>Kayıtlı ayarı olan ve olmayan birer çift.</t>
  </si>
  <si>
    <t/>
  </si>
  <si>
    <t/>
  </si>
  <si>
    <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</si>
  <si>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</si>
  <si>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</si>
  <si>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</si>
  <si>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</si>
  <si>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</si>
  <si>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
  </si>
  <si>
    <t>TC-ARB-F07</t>
  </si>
  <si>
    <t>Toplu başlat / durdur</t>
  </si>
  <si>
    <t>Bir kısmı çalışan, bir kısmı durmuş birkaç çift.</t>
  </si>
  <si>
    <t>1. Çalışan ve duran çiftleri birlikte seç
2. Başlıktaki ▶/⏸ toplu butonuna bas
3. Her satırın son durumunu kaydet</t>
  </si>
  <si>
    <t/>
  </si>
  <si>
    <t/>
  </si>
  <si>
    <t>TC-ARB-F08</t>
  </si>
  <si>
    <t>Excel ile dışa ve içe aktarma</t>
  </si>
  <si>
    <t>Arbitraj takip paneli açık; birkaç kayıtlı çift.</t>
  </si>
  <si>
    <t/>
  </si>
  <si>
    <t/>
  </si>
  <si>
    <t>TC-ARB-F09</t>
  </si>
  <si>
    <t>Paket Ekle, Paketi Değiştir ve paket silme</t>
  </si>
  <si>
    <t>Strateji durmuş bir Faiz Arbitraj çifti (test ortamında).</t>
  </si>
  <si>
    <t/>
  </si>
  <si>
    <t>Paket eklenince listede görünür ve pozisyon artar; değiştirilince yeni değerler görünür; silinince listeden kalkar ve pozisyon azalır. Silme öncesi onay istenir. Strateji çalışırken ekleme ve değiştirme yapılamaz ve kullanıcı uyarılır.</t>
  </si>
  <si>
    <t/>
  </si>
  <si>
    <t>TC-ARB-F10</t>
  </si>
  <si>
    <t>Pasif Emirler paneli ve manuel spot müdahalesi</t>
  </si>
  <si>
    <t>RA; spot bacakta pasif bekleyen bir emir var.</t>
  </si>
  <si>
    <t/>
  </si>
  <si>
    <t/>
  </si>
  <si>
    <t/>
  </si>
  <si>
    <t>TC-ARB-F11</t>
  </si>
  <si>
    <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</si>
  <si>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</si>
  <si>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</si>
  <si>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</si>
  <si>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
  </si>
  <si>
    <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</si>
  <si>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</si>
  <si>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</si>
  <si>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</si>
  <si>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</si>
  <si>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</si>
  <si>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
  </si>
  <si>
    <t/>
  </si>
  <si>
    <t/>
  </si>
  <si>
    <t>Açıklama:</t>
  </si>
  <si>
    <t/>
  </si>
  <si>
    <t/>
  </si>
  <si>
    <t/>
  </si>
  <si>
    <t/>
  </si>
  <si>
    <t/>
  </si>
  <si>
    <t>Başlık</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</si>
  <si>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</si>
  <si>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</si>
  <si>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</si>
  <si>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</si>
  <si>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</si>
  <si>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</si>
  <si>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</si>
  <si>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</si>
  <si>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</si>
  <si>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</si>
  <si>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</si>
  <si>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</si>
  <si>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</si>
  <si>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</si>
  <si>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</si>
  <si>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</si>
  <si>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</si>
  <si>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</si>
  <si>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</si>
  <si>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</si>
  <si>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</si>
  <si>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</si>
  <si>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</si>
  <si>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</si>
  <si>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</si>
  <si>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</si>
  <si>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</si>
  <si>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</si>
  <si>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</si>
  <si>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</si>
  <si>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</si>
  <si>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</si>
  <si>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</si>
  <si>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</si>
  <si>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</si>
  <si>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</si>
  <si>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</si>
  <si>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</si>
  <si>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</si>
  <si>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</si>
  <si>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</si>
  <si>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</si>
  <si>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</si>
  <si>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</si>
  <si>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</si>
  <si>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</si>
  <si>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</si>
  <si>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</si>
  <si>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</si>
  <si>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</si>
  <si>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</si>
  <si>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</si>
  <si>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</si>
  <si>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</si>
  <si>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</si>
  <si>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</si>
  <si>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</si>
  <si>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</si>
  <si>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</si>
  <si>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</si>
  <si>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</si>
  <si>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</si>
  <si>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</si>
  <si>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</si>
  <si>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</si>
  <si>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</si>
  <si>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</si>
  <si>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</si>
  <si>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</si>
  <si>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</si>
  <si>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</si>
  <si>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</si>
  <si>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</si>
  <si>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</si>
  <si>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</si>
  <si>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</si>
  <si>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</si>
  <si>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</si>
  <si>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</si>
  <si>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</si>
  <si>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</si>
  <si>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</si>
  <si>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</si>
  <si>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</si>
  <si>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</si>
  <si>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</si>
  <si>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</si>
  <si>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</si>
  <si>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</si>
  <si>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</si>
  <si>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</si>
  <si>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</si>
  <si>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</si>
  <si>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</si>
  <si>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</si>
  <si>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</si>
  <si>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</si>
  <si>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</si>
  <si>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</si>
  <si>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</si>
  <si>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</si>
  <si>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</si>
  <si>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</si>
  <si>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</si>
  <si>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</si>
  <si>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</si>
  <si>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</si>
  <si>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</si>
  <si>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</si>
  <si>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</si>
  <si>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</si>
  <si>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</si>
  <si>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</si>
  <si>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</si>
  <si>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</si>
  <si>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</si>
  <si>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</si>
  <si>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</si>
  <si>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</si>
  <si>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</si>
  <si>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</si>
  <si>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</si>
  <si>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</si>
  <si>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</si>
  <si>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</si>
  <si>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</si>
  <si>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</si>
  <si>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</si>
  <si>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</si>
  <si>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</si>
  <si>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</si>
  <si>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</si>
  <si>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</si>
  <si>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</si>
  <si>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</si>
  <si>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</si>
  <si>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</si>
  <si>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</si>
  <si>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</si>
  <si>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</si>
  <si>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</si>
  <si>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</si>
  <si>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</si>
  <si>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</si>
  <si>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</si>
  <si>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</si>
  <si>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</si>
  <si>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</si>
  <si>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</si>
  <si>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</si>
  <si>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</si>
  <si>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</si>
  <si>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</si>
  <si>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</si>
  <si>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</si>
  <si>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</si>
  <si>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</si>
  <si>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</si>
  <si>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</si>
  <si>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</si>
  <si>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</si>
  <si>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</si>
  <si>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</si>
  <si>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</si>
  <si>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</si>
  <si>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</si>
  <si>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</si>
  <si>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</si>
  <si>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</si>
  <si>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</si>
  <si>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</si>
  <si>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</si>
  <si>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</si>
  <si>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</si>
  <si>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</si>
  <si>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</si>
  <si>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</si>
  <si>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</si>
  <si>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</si>
  <si>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</si>
  <si>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</si>
  <si>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</si>
  <si>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</si>
  <si>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</si>
  <si>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</si>
  <si>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</si>
  <si>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</si>
  <si>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</si>
  <si>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</si>
  <si>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</si>
  <si>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</si>
  <si>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</si>
  <si>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</si>
  <si>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</si>
  <si>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</si>
  <si>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</si>
  <si>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</si>
  <si>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</si>
  <si>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</si>
  <si>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</si>
  <si>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</si>
  <si>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</si>
  <si>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</si>
  <si>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</si>
  <si>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</si>
  <si>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</si>
  <si>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</si>
  <si>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</si>
  <si>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</si>
  <si>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</si>
  <si>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</si>
  <si>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</si>
  <si>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</si>
  <si>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</si>
  <si>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</si>
  <si>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</si>
  <si>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</si>
  <si>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</si>
  <si>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</si>
  <si>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</si>
  <si>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</si>
  <si>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</si>
  <si>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</si>
  <si>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</si>
  <si>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</si>
  <si>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</si>
  <si>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</si>
  <si>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</si>
  <si>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</si>
  <si>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</si>
  <si>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</si>
  <si>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</si>
  <si>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</si>
  <si>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</si>
  <si>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</si>
  <si>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</si>
  <si>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</si>
  <si>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</si>
  <si>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</si>
  <si>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</si>
  <si>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</si>
  <si>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</si>
  <si>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</si>
  <si>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</si>
  <si>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</si>
  <si>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</si>
  <si>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</si>
  <si>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</si>
  <si>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</si>
  <si>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</si>
  <si>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</si>
  <si>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</si>
  <si>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</si>
  <si>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</si>
  <si>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</si>
  <si>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</si>
  <si>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</si>
  <si>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</si>
  <si>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</si>
  <si>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</si>
  <si>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</si>
  <si>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</si>
  <si>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</si>
  <si>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</si>
  <si>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</si>
  <si>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</si>
  <si>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</si>
  <si>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</si>
  <si>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</si>
  <si>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</si>
  <si>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</si>
  <si>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</si>
  <si>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</si>
  <si>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</si>
  <si>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</si>
  <si>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</si>
  <si>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</si>
  <si>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</si>
  <si>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</si>
  <si>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</si>
  <si>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</si>
  <si>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</si>
  <si>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</si>
  <si>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</si>
  <si>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</si>
  <si>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</si>
  <si>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</si>
  <si>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</si>
  <si>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</si>
  <si>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</si>
  <si>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</si>
  <si>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</si>
  <si>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</si>
  <si>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</si>
  <si>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</si>
  <si>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</si>
  <si>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</si>
  <si>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</si>
  <si>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</si>
  <si>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</si>
  <si>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</si>
  <si>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</si>
  <si>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</si>
  <si>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</si>
  <si>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</si>
  <si>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</si>
  <si>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</si>
  <si>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</si>
  <si>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</si>
  <si>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</si>
  <si>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</si>
  <si>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</si>
  <si>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</si>
  <si>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</si>
  <si>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</si>
  <si>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</si>
  <si>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</si>
  <si>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</si>
  <si>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</si>
  <si>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</si>
  <si>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</si>
  <si>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</si>
  <si>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</si>
  <si>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</si>
  <si>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</si>
  <si>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</si>
  <si>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</si>
  <si>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</si>
  <si>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</si>
  <si>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</si>
  <si>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</si>
  <si>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</si>
  <si>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</si>
  <si>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</si>
  <si>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</si>
  <si>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</si>
  <si>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</si>
  <si>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</si>
  <si>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</si>
  <si>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</si>
  <si>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</si>
  <si>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</si>
  <si>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Emir hesaplanan faiz oranı fiyatına göre vadeli tarafta pasife yazıldı.</t>
  </si>
  <si>
    <t/>
  </si>
  <si>
    <t/>
  </si>
  <si>
    <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</si>
  <si>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</si>
  <si>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</si>
  <si>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
  </si>
  <si>
    <t/>
  </si>
  <si>
    <t xml:space="preserve">Kontrat limiti tamamlandığında strateji çalışmaya devam ediyor ama ayarları güncelleyene kadar yeni emir girilmiyor. </t>
  </si>
  <si>
    <t/>
  </si>
  <si>
    <t xml:space="preserve">Henüz kontrat limiti dolmadıysa paket kapatma ve açmak için olan vadeli emirleri aynı anda pasifte bekliyor. Vadeli emir gerekleşince spot taraftan satış emri gönderiliyor. </t>
  </si>
  <si>
    <t/>
  </si>
  <si>
    <t xml:space="preserve">Bir paket başarılı bir şekilde kapatıldıysa bu paket kontrat limitine dahil olmuyor, eğer kontrat limtinde yer varsa yeni paket açılımı için emir gönderildi. </t>
  </si>
  <si>
    <t/>
  </si>
  <si>
    <t/>
  </si>
  <si>
    <t/>
  </si>
  <si>
    <t/>
  </si>
  <si>
    <t/>
  </si>
  <si>
    <t xml:space="preserve">Emirler OUCH kanalı ile gönderiliyor. </t>
  </si>
  <si>
    <t/>
  </si>
  <si>
    <t/>
  </si>
  <si>
    <t/>
  </si>
  <si>
    <t/>
  </si>
  <si>
    <t xml:space="preserve">Ayarları kaydedip kapattığımda belirlediğim ayarlara göre strateji kendini güncelliyor, çalışmaya devam ediyor. </t>
  </si>
  <si>
    <t xml:space="preserve">Vadeye kalan gün doğru hesaplanıyğor. </t>
  </si>
  <si>
    <t/>
  </si>
  <si>
    <t/>
  </si>
  <si>
    <t/>
  </si>
  <si>
    <t/>
  </si>
  <si>
    <t/>
  </si>
  <si>
    <t xml:space="preserve">Ayarlar başarılı bir şekilde kaydediliyor. </t>
  </si>
  <si>
    <t/>
  </si>
  <si>
    <t/>
  </si>
  <si>
    <t/>
  </si>
  <si>
    <t/>
  </si>
  <si>
    <t xml:space="preserve">Excel ile indirdiğimiz panel ve stratejiler dosyasını güncelledikten sonra geri yüklediğimizde ayarlar da istediğim şekilde güncelleniyor. </t>
  </si>
  <si>
    <t/>
  </si>
  <si>
    <t xml:space="preserve">Strateji durdurken paket ekleme ve çıkarma, paket silme işlemleri başarılı bir şekilde gerçekleşiyor. </t>
  </si>
  <si>
    <t/>
  </si>
  <si>
    <t/>
  </si>
  <si>
    <t/>
  </si>
  <si>
    <t/>
  </si>
  <si>
    <t/>
  </si>
  <si>
    <t/>
  </si>
  <si>
    <t/>
  </si>
  <si>
    <t/>
  </si>
  <si>
    <t/>
  </si>
  <si>
    <t/>
  </si>
  <si>
    <t/>
  </si>
  <si>
    <t/>
  </si>
  <si>
    <t xml:space="preserve">RA. Strateji duruyor, çiftte açık pozisyon yok. Referans değerler (spot ve vadeli en iyi fiyatlar, V.K.G., fiyat adımı) not edilmiş.</t>
  </si>
  <si>
    <t/>
  </si>
  <si>
    <t/>
  </si>
  <si>
    <t/>
  </si>
  <si>
    <t/>
  </si>
  <si>
    <t/>
  </si>
  <si>
    <t/>
  </si>
  <si>
    <t/>
  </si>
  <si>
    <t/>
  </si>
  <si>
    <t/>
  </si>
  <si>
    <t/>
  </si>
  <si>
    <t/>
  </si>
  <si>
    <t/>
  </si>
  <si>
    <t/>
  </si>
  <si>
    <t/>
  </si>
  <si>
    <t xml:space="preserve">Spot emri beklemeden karşı taraftaki en iyi fiyattan gönderilir; Kademe ve Saniye değerleri dikkate alınmaz. Emir piyasa emri değil, karşı en iyi fiyattan günlük limit emirdir; tahta kayarsa hemen dolmayabilir.</t>
  </si>
  <si>
    <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</si>
  <si>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</si>
  <si>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</si>
  <si>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</si>
  <si>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</si>
  <si>
    <t/>
  </si>
  <si>
    <t xml:space="preserve">1. Sağ tık ▸ Arbitraj Hareketleri'nde Teorik Fiyat'ı kaydet
2. Aynı anda spotun son işlem fiyatını ve takip tablosundaki V.K.G.'yi kaydet
3. Elle hesapla: Spot son işlem fiyatı × (1 + 40 / 100 × Vadeye kalan gün / 365)</t>
  </si>
  <si>
    <t/>
  </si>
  <si>
    <t/>
  </si>
  <si>
    <t/>
  </si>
  <si>
    <t/>
  </si>
  <si>
    <t/>
  </si>
  <si>
    <t/>
  </si>
  <si>
    <t/>
  </si>
  <si>
    <t xml:space="preserve">1. Spot en iyi alış tavan fiyatına değdiğinde ya da en iyi satış taban fiyatına indiğinde (eşit ya da altında) stratejinin durumunu kaydet</t>
  </si>
  <si>
    <t/>
  </si>
  <si>
    <t xml:space="preserve">Bloke</t>
  </si>
  <si>
    <t/>
  </si>
  <si>
    <t/>
  </si>
  <si>
    <t/>
  </si>
  <si>
    <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</si>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</sst>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1.9</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30 genişletilmiş, 5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ve Regresyon sayfalarında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ilgili ayar veya iş akışı değiştiğinde çalıştırılır. Karar bekliyor: beklenen davranış sorumlu kişiyle netleşmeden başarılı/başarısız sayılmaz; engel açıklaması kaydedilir.</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57</v>
      </c>
      <c r="I2" s="9" t="inlineStr">
        <is>
          <t xml:space="preserve">Test Edilmedi</t>
        </is>
      </c>
      <c r="J2" s="13">
        <f>COUNTIF($B$19:$B$400,"Test Edilmedi")</f>
        <v>37</v>
      </c>
      <c r="K2" s="9" t="inlineStr">
        <is>
          <t xml:space="preserve">Bloke</t>
        </is>
      </c>
      <c r="L2" s="13">
        <f>COUNTIF($B$19:$B$400,"Bloke")</f>
        <v>1</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3</v>
      </c>
      <c r="K3" s="9" t="inlineStr">
        <is>
          <t xml:space="preserve">Sonuçsuz</t>
        </is>
      </c>
      <c r="L3" s="13">
        <f>COUNTBLANK($B$19:$B$75)</f>
        <v>0</v>
      </c>
    </row>
    <row r="4" spans="1:13" ht="21.75" customHeight="1" x14ac:dyDescent="0.25">
      <c r="A4" s="6"/>
      <c r="B4" s="6"/>
      <c r="C4" s="9" t="inlineStr">
        <is>
          <t xml:space="preserve">Doküman Sürümü:</t>
        </is>
      </c>
      <c r="D4" s="10" t="inlineStr">
        <is>
          <t xml:space="preserve">1.9</t>
        </is>
      </c>
      <c r="E4" s="9" t="s">
        <v>15</v>
      </c>
      <c r="F4" s="11"/>
      <c r="G4" s="9" t="s">
        <v>16</v>
      </c>
      <c r="H4" s="13">
        <f>COUNTIF($B$19:$B$400,"Başarısız")</f>
        <v>1</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iki test sayfasında Ana sanity filtresini kullanın: 37 kontrol. Diğer kapsamlar: 30 genişletilmiş, 5 karar bekliyor. Üst özetler sayfanın tüm kayıtlarını gösterir.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s">
        <v>103</v>
      </c>
      <c r="B19" s="18" t="s">
        <v>12</v>
      </c>
      <c r="C19" s="19" t="inlineStr">
        <is>
          <t xml:space="preserve">Ana sanity</t>
        </is>
      </c>
      <c r="D19" s="19" t="s">
        <v>105</v>
      </c>
      <c r="E19" s="20" t="s">
        <v>879</v>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s">
        <v>108</v>
      </c>
      <c r="H19" s="19" t="s">
        <v>829</v>
      </c>
      <c r="I19" s="19" t="inlineStr">
        <is>
          <t xml:space="preserve">Takip tablosu, Pasif Emirler, Emir Geçmişi ve ilgili işlem ekranı.</t>
        </is>
      </c>
      <c r="J19" s="18" t="s">
        <v>79</v>
      </c>
      <c r="K19" s="18" t="s">
        <v>57</v>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s">
        <v>110</v>
      </c>
      <c r="B20" s="18" t="s">
        <v>12</v>
      </c>
      <c r="C20" s="19" t="inlineStr">
        <is>
          <t xml:space="preserve">Ana sanity</t>
        </is>
      </c>
      <c r="D20" s="19" t="s">
        <v>111</v>
      </c>
      <c r="E20" s="20" t="s">
        <v>112</v>
      </c>
      <c r="F20" s="20" t="s">
        <v>113</v>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s">
        <v>79</v>
      </c>
      <c r="K20" s="18" t="s">
        <v>57</v>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s">
        <v>116</v>
      </c>
      <c r="B21" s="18" t="s">
        <v>12</v>
      </c>
      <c r="C21" s="19" t="inlineStr">
        <is>
          <t xml:space="preserve">Ana sanity</t>
        </is>
      </c>
      <c r="D21" s="19" t="s">
        <v>117</v>
      </c>
      <c r="E21" s="20" t="s">
        <v>118</v>
      </c>
      <c r="F21" s="20" t="s">
        <v>119</v>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s">
        <v>833</v>
      </c>
      <c r="I21" s="19" t="inlineStr">
        <is>
          <t xml:space="preserve">Takip tablosu, Pasif Emirler, Emir Geçmişi ve ilgili işlem ekranı.</t>
        </is>
      </c>
      <c r="J21" s="18" t="s">
        <v>79</v>
      </c>
      <c r="K21" s="18" t="s">
        <v>57</v>
      </c>
      <c r="L21" s="20"/>
      <c r="M21" s="21"/>
    </row>
    <row r="22" spans="1:13" ht="73.5" customHeight="1" x14ac:dyDescent="0.25">
      <c r="A22" s="17" t="s">
        <v>122</v>
      </c>
      <c r="B22" s="18" t="s">
        <v>12</v>
      </c>
      <c r="C22" s="19" t="inlineStr">
        <is>
          <t xml:space="preserve">Ana sanity</t>
        </is>
      </c>
      <c r="D22" s="19" t="s">
        <v>123</v>
      </c>
      <c r="E22" s="20" t="s">
        <v>124</v>
      </c>
      <c r="F22" s="20" t="s">
        <v>125</v>
      </c>
      <c r="G22" s="20" t="s">
        <v>126</v>
      </c>
      <c r="H22" s="19" t="s">
        <v>834</v>
      </c>
      <c r="I22" s="19" t="inlineStr">
        <is>
          <t xml:space="preserve">Takip tablosu, Pasif Emirler, Emir Geçmişi ve ilgili işlem ekranı.</t>
        </is>
      </c>
      <c r="J22" s="18" t="s">
        <v>79</v>
      </c>
      <c r="K22" s="18" t="s">
        <v>57</v>
      </c>
      <c r="L22" s="20"/>
      <c r="M22" s="21"/>
    </row>
    <row r="23" spans="1:13" ht="86.25" customHeight="1" x14ac:dyDescent="0.25">
      <c r="A23" s="17" t="s">
        <v>128</v>
      </c>
      <c r="B23" s="18" t="s">
        <v>12</v>
      </c>
      <c r="C23" s="19" t="inlineStr">
        <is>
          <t xml:space="preserve">Ana sanity</t>
        </is>
      </c>
      <c r="D23" s="19" t="s">
        <v>129</v>
      </c>
      <c r="E23" s="20" t="s">
        <v>130</v>
      </c>
      <c r="F23" s="20" t="s">
        <v>131</v>
      </c>
      <c r="G23" s="20" t="s">
        <v>132</v>
      </c>
      <c r="H23" s="19" t="s">
        <v>837</v>
      </c>
      <c r="I23" s="19" t="inlineStr">
        <is>
          <t xml:space="preserve">Takip tablosu, Pasif Emirler, Emir Geçmişi ve ilgili işlem ekranı.</t>
        </is>
      </c>
      <c r="J23" s="18" t="s">
        <v>79</v>
      </c>
      <c r="K23" s="18" t="s">
        <v>57</v>
      </c>
      <c r="L23" s="20"/>
      <c r="M23" s="21"/>
    </row>
    <row r="24" spans="1:13" ht="124.5" customHeight="1" x14ac:dyDescent="0.25">
      <c r="A24" s="17" t="s">
        <v>134</v>
      </c>
      <c r="B24" s="18" t="s">
        <v>12</v>
      </c>
      <c r="C24" s="19" t="inlineStr">
        <is>
          <t xml:space="preserve">Ana sanity</t>
        </is>
      </c>
      <c r="D24" s="19" t="s">
        <v>135</v>
      </c>
      <c r="E24" s="20" t="s">
        <v>136</v>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s">
        <v>138</v>
      </c>
      <c r="H24" s="19" t="s">
        <v>839</v>
      </c>
      <c r="I24" s="19" t="inlineStr">
        <is>
          <t xml:space="preserve">Takip tablosu, Pasif Emirler, Emir Geçmişi ve ilgili işlem ekranı.</t>
        </is>
      </c>
      <c r="J24" s="18" t="s">
        <v>79</v>
      </c>
      <c r="K24" s="18" t="s">
        <v>57</v>
      </c>
      <c r="L24" s="20"/>
      <c r="M24" s="21"/>
    </row>
    <row r="25" spans="1:13" ht="99" customHeight="1" x14ac:dyDescent="0.25">
      <c r="A25" s="17" t="s">
        <v>140</v>
      </c>
      <c r="B25" s="18" t="inlineStr">
        <is>
          <t xml:space="preserve">Kısmen</t>
        </is>
      </c>
      <c r="C25" s="19" t="inlineStr">
        <is>
          <t xml:space="preserve">Genişletilmiş</t>
        </is>
      </c>
      <c r="D25" s="19" t="s">
        <v>141</v>
      </c>
      <c r="E25" s="20" t="s">
        <v>142</v>
      </c>
      <c r="F25" s="20" t="s">
        <v>143</v>
      </c>
      <c r="G25" s="20" t="s">
        <v>144</v>
      </c>
      <c r="H25" s="19" t="s">
        <v>841</v>
      </c>
      <c r="I25" s="19" t="inlineStr">
        <is>
          <t xml:space="preserve">Takip tablosu, Pasif Emirler, Emir Geçmişi ve ilgili işlem ekranı.</t>
        </is>
      </c>
      <c r="J25" s="18" t="s">
        <v>79</v>
      </c>
      <c r="K25" s="18" t="s">
        <v>57</v>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s">
        <v>146</v>
      </c>
      <c r="B26" s="18" t="s">
        <v>490</v>
      </c>
      <c r="C26" s="19" t="inlineStr">
        <is>
          <t xml:space="preserve">Ana sanity</t>
        </is>
      </c>
      <c r="D26" s="19" t="inlineStr">
        <is>
          <t xml:space="preserve">Stop-loss: spot emrinin süre sonunda karşı en iyi fiyata taşınması</t>
        </is>
      </c>
      <c r="E26" s="20" t="s">
        <v>148</v>
      </c>
      <c r="F26" s="20" t="s">
        <v>149</v>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s">
        <v>79</v>
      </c>
      <c r="K26" s="18" t="s">
        <v>57</v>
      </c>
      <c r="L26" s="20"/>
      <c r="M26" s="21"/>
    </row>
    <row r="27" spans="1:13" ht="86.25" customHeight="1" x14ac:dyDescent="0.25">
      <c r="A27" s="17" t="s">
        <v>152</v>
      </c>
      <c r="B27" s="18" t="s">
        <v>490</v>
      </c>
      <c r="C27" s="19" t="inlineStr">
        <is>
          <t xml:space="preserve">Genişletilmiş</t>
        </is>
      </c>
      <c r="D27" s="19" t="s">
        <v>153</v>
      </c>
      <c r="E27" s="20" t="s">
        <v>154</v>
      </c>
      <c r="F27" s="20" t="s">
        <v>155</v>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s">
        <v>79</v>
      </c>
      <c r="K27" s="18" t="s">
        <v>57</v>
      </c>
      <c r="L27" s="20"/>
      <c r="M27" s="21"/>
    </row>
    <row r="28" spans="1:13" x14ac:dyDescent="0.25" ht="138.0" customHeight="1">
      <c r="A28" s="17" t="s">
        <v>158</v>
      </c>
      <c r="B28" s="18" t="s">
        <v>916</v>
      </c>
      <c r="C28" s="19" t="inlineStr">
        <is>
          <t xml:space="preserve">Ana sanity</t>
        </is>
      </c>
      <c r="D28" s="19" t="s">
        <v>159</v>
      </c>
      <c r="E28" s="20" t="s">
        <v>160</v>
      </c>
      <c r="F28" s="20" t="s">
        <v>161</v>
      </c>
      <c r="G28" s="20" t="s">
        <v>162</v>
      </c>
      <c r="H28" s="19"/>
      <c r="I28" s="19" t="inlineStr">
        <is>
          <t xml:space="preserve">Takip tablosu, Pasif Emirler, Emir Geçmişi ve ilgili işlem ekranı.</t>
        </is>
      </c>
      <c r="J28" s="18" t="s">
        <v>79</v>
      </c>
      <c r="K28" s="18" t="s">
        <v>57</v>
      </c>
      <c r="L28" s="20"/>
      <c r="M28" s="21"/>
    </row>
    <row r="29" spans="1:13" ht="111.75" customHeight="1" x14ac:dyDescent="0.25">
      <c r="A29" s="17" t="s">
        <v>164</v>
      </c>
      <c r="B29" s="18" t="s">
        <v>490</v>
      </c>
      <c r="C29" s="19" t="inlineStr">
        <is>
          <t xml:space="preserve">Genişletilmiş</t>
        </is>
      </c>
      <c r="D29" s="19" t="s">
        <v>165</v>
      </c>
      <c r="E29" s="20" t="s">
        <v>166</v>
      </c>
      <c r="F29" s="20" t="inlineStr">
        <is>
          <t xml:space="preserve">1. Referans başlangıç saatinden önce stratejiyi başlatın.
2. Başlangıç öncesi ve sonrası çalışma durumunu ve emirleri izleyin.
3. Saatleri ve ekran görüntülerini kaydedin.</t>
        </is>
      </c>
      <c r="G29" s="20" t="s">
        <v>168</v>
      </c>
      <c r="H29" s="19"/>
      <c r="I29" s="19" t="inlineStr">
        <is>
          <t xml:space="preserve">Takip tablosu, Pasif Emirler, Emir Geçmişi ve ilgili işlem ekranı.</t>
        </is>
      </c>
      <c r="J29" s="18" t="s">
        <v>79</v>
      </c>
      <c r="K29" s="18" t="s">
        <v>57</v>
      </c>
      <c r="L29" s="20" t="inlineStr">
        <is>
          <t xml:space="preserve">Seans başlangıcı ile kullanıcı tarafından girilen başlangıç saati ayrı koşullardır. Saat davranışının ayrıntılı kontrolü R02 içindedir.</t>
        </is>
      </c>
      <c r="M29" s="21"/>
    </row>
    <row r="30" spans="1:13" ht="99" customHeight="1" x14ac:dyDescent="0.25">
      <c r="A30" s="17" t="s">
        <v>170</v>
      </c>
      <c r="B30" s="18" t="s">
        <v>490</v>
      </c>
      <c r="C30" s="19" t="inlineStr">
        <is>
          <t xml:space="preserve">Ana sanity</t>
        </is>
      </c>
      <c r="D30" s="19" t="s">
        <v>171</v>
      </c>
      <c r="E30" s="20" t="s">
        <v>172</v>
      </c>
      <c r="F30" s="20" t="s">
        <v>173</v>
      </c>
      <c r="G30" s="20" t="s">
        <v>174</v>
      </c>
      <c r="H30" s="19"/>
      <c r="I30" s="19" t="inlineStr">
        <is>
          <t xml:space="preserve">Takip tablosu, Pasif Emirler, Emir Geçmişi ve ilgili işlem ekranı.</t>
        </is>
      </c>
      <c r="J30" s="18" t="s">
        <v>79</v>
      </c>
      <c r="K30" s="18" t="s">
        <v>57</v>
      </c>
      <c r="L30" s="20" t="inlineStr">
        <is>
          <t xml:space="preserve">Spot bacakta tamamlanmamış paket varsa ayrıca R03 uygulanır. Durdurma, açık pozisyonun kapatılması anlamına gelmez.</t>
        </is>
      </c>
      <c r="M30" s="21"/>
    </row>
    <row r="31" spans="1:13" ht="73.5" customHeight="1" x14ac:dyDescent="0.25">
      <c r="A31" s="17" t="s">
        <v>176</v>
      </c>
      <c r="B31" s="18" t="s">
        <v>12</v>
      </c>
      <c r="C31" s="19" t="inlineStr">
        <is>
          <t xml:space="preserve">Ana sanity</t>
        </is>
      </c>
      <c r="D31" s="19" t="s">
        <v>177</v>
      </c>
      <c r="E31" s="20" t="s">
        <v>178</v>
      </c>
      <c r="F31" s="20" t="s">
        <v>179</v>
      </c>
      <c r="G31" s="20" t="s">
        <v>180</v>
      </c>
      <c r="H31" s="19" t="s">
        <v>847</v>
      </c>
      <c r="I31" s="19" t="inlineStr">
        <is>
          <t xml:space="preserve">Takip tablosu, Pasif Emirler, Emir Geçmişi ve ilgili işlem ekranı.</t>
        </is>
      </c>
      <c r="J31" s="18" t="s">
        <v>79</v>
      </c>
      <c r="K31" s="18" t="s">
        <v>88</v>
      </c>
      <c r="L31" s="20"/>
      <c r="M31" s="21"/>
    </row>
    <row r="32" spans="1:13" x14ac:dyDescent="0.25" ht="125.0" customHeight="1">
      <c r="A32" s="17" t="s">
        <v>182</v>
      </c>
      <c r="B32" s="18" t="s">
        <v>917</v>
      </c>
      <c r="C32" s="19" t="inlineStr">
        <is>
          <t xml:space="preserve">Ana sanity</t>
        </is>
      </c>
      <c r="D32" s="19" t="s">
        <v>184</v>
      </c>
      <c r="E32" s="20" t="s">
        <v>185</v>
      </c>
      <c r="F32" s="20" t="s">
        <v>186</v>
      </c>
      <c r="G32" s="20" t="s">
        <v>187</v>
      </c>
      <c r="H32" s="19"/>
      <c r="I32" s="19" t="inlineStr">
        <is>
          <t xml:space="preserve">Takip tablosu, Pasif Emirler, Emir Geçmişi ve ilgili işlem ekranı.</t>
        </is>
      </c>
      <c r="J32" s="18" t="s">
        <v>79</v>
      </c>
      <c r="K32" s="18" t="s">
        <v>57</v>
      </c>
      <c r="L32" s="20"/>
      <c r="M32" s="21"/>
    </row>
    <row r="33" spans="1:13" x14ac:dyDescent="0.25" ht="216.0" customHeight="1">
      <c r="A33" s="17" t="s">
        <v>189</v>
      </c>
      <c r="B33" s="18" t="s">
        <v>918</v>
      </c>
      <c r="C33" s="19" t="inlineStr">
        <is>
          <t xml:space="preserve">Genişletilmiş</t>
        </is>
      </c>
      <c r="D33" s="19" t="s">
        <v>190</v>
      </c>
      <c r="E33" s="20" t="s">
        <v>191</v>
      </c>
      <c r="F33" s="20" t="s">
        <v>192</v>
      </c>
      <c r="G33" s="20" t="s">
        <v>193</v>
      </c>
      <c r="H33" s="19"/>
      <c r="I33" s="19" t="inlineStr">
        <is>
          <t xml:space="preserve">Takip tablosu, Pasif Emirler, Emir Geçmişi ve ilgili işlem ekranı.</t>
        </is>
      </c>
      <c r="J33" s="18" t="s">
        <v>79</v>
      </c>
      <c r="K33" s="18" t="s">
        <v>57</v>
      </c>
      <c r="L33" s="20"/>
      <c r="M33" s="21"/>
    </row>
    <row r="34" spans="1:13" ht="86.25" customHeight="1" x14ac:dyDescent="0.25">
      <c r="A34" s="17" t="s">
        <v>195</v>
      </c>
      <c r="B34" s="18" t="s">
        <v>919</v>
      </c>
      <c r="C34" s="19" t="inlineStr">
        <is>
          <t xml:space="preserve">Genişletilmiş</t>
        </is>
      </c>
      <c r="D34" s="19" t="s">
        <v>196</v>
      </c>
      <c r="E34" s="20" t="s">
        <v>197</v>
      </c>
      <c r="F34" s="20" t="s">
        <v>198</v>
      </c>
      <c r="G34" s="20" t="s">
        <v>199</v>
      </c>
      <c r="H34" s="19"/>
      <c r="I34" s="19" t="inlineStr">
        <is>
          <t xml:space="preserve">Takip tablosu, Pasif Emirler, Emir Geçmişi ve ilgili işlem ekranı.</t>
        </is>
      </c>
      <c r="J34" s="18" t="s">
        <v>79</v>
      </c>
      <c r="K34" s="18" t="s">
        <v>88</v>
      </c>
      <c r="L34" s="20"/>
      <c r="M34" s="21"/>
    </row>
    <row r="35" spans="1:13" ht="86.25" customHeight="1" x14ac:dyDescent="0.25">
      <c r="A35" s="17" t="s">
        <v>202</v>
      </c>
      <c r="B35" s="18" t="s">
        <v>920</v>
      </c>
      <c r="C35" s="19" t="inlineStr">
        <is>
          <t xml:space="preserve">Ana sanity</t>
        </is>
      </c>
      <c r="D35" s="19" t="s">
        <v>203</v>
      </c>
      <c r="E35" s="20" t="s">
        <v>204</v>
      </c>
      <c r="F35" s="20" t="s">
        <v>205</v>
      </c>
      <c r="G35" s="20" t="s">
        <v>206</v>
      </c>
      <c r="H35" s="19"/>
      <c r="I35" s="19" t="inlineStr">
        <is>
          <t xml:space="preserve">Takip tablosu, Pasif Emirler, Emir Geçmişi ve ilgili işlem ekranı.</t>
        </is>
      </c>
      <c r="J35" s="18" t="s">
        <v>79</v>
      </c>
      <c r="K35" s="18" t="s">
        <v>57</v>
      </c>
      <c r="L35" s="20"/>
      <c r="M35" s="21"/>
    </row>
    <row r="36" spans="1:13" ht="73.5" customHeight="1" x14ac:dyDescent="0.25">
      <c r="A36" s="17" t="s">
        <v>209</v>
      </c>
      <c r="B36" s="18" t="s">
        <v>921</v>
      </c>
      <c r="C36" s="19" t="inlineStr">
        <is>
          <t xml:space="preserve">Ana sanity</t>
        </is>
      </c>
      <c r="D36" s="19" t="s">
        <v>210</v>
      </c>
      <c r="E36" s="20" t="s">
        <v>211</v>
      </c>
      <c r="F36" s="20" t="s">
        <v>212</v>
      </c>
      <c r="G36" s="20" t="s">
        <v>213</v>
      </c>
      <c r="H36" s="19"/>
      <c r="I36" s="19" t="inlineStr">
        <is>
          <t xml:space="preserve">Takip tablosu, Pasif Emirler, Emir Geçmişi ve ilgili işlem ekranı.</t>
        </is>
      </c>
      <c r="J36" s="18" t="s">
        <v>79</v>
      </c>
      <c r="K36" s="18" t="s">
        <v>88</v>
      </c>
      <c r="L36" s="20"/>
      <c r="M36" s="21"/>
    </row>
    <row r="37" spans="1:13" x14ac:dyDescent="0.25" ht="164.0" customHeight="1">
      <c r="A37" s="17" t="s">
        <v>216</v>
      </c>
      <c r="B37" s="18" t="s">
        <v>490</v>
      </c>
      <c r="C37" s="19" t="inlineStr">
        <is>
          <t xml:space="preserve">Ana sanity</t>
        </is>
      </c>
      <c r="D37" s="19" t="inlineStr">
        <is>
          <t xml:space="preserve">Stop-loss Aktif: spot emrinin karşı en iyi fiyattan günlük limit gönderilmesi</t>
        </is>
      </c>
      <c r="E37" s="20" t="s">
        <v>218</v>
      </c>
      <c r="F37" s="20" t="s">
        <v>219</v>
      </c>
      <c r="G37" s="20" t="s">
        <v>894</v>
      </c>
      <c r="H37" s="19"/>
      <c r="I37" s="19" t="inlineStr">
        <is>
          <t xml:space="preserve">Takip tablosu, Pasif Emirler, Emir Geçmişi ve ilgili işlem ekranı.</t>
        </is>
      </c>
      <c r="J37" s="18" t="s">
        <v>79</v>
      </c>
      <c r="K37" s="18" t="s">
        <v>88</v>
      </c>
      <c r="L37" s="20"/>
      <c r="M37" s="21"/>
    </row>
    <row r="38" spans="1:13" ht="48" customHeight="1" x14ac:dyDescent="0.25">
      <c r="A38" s="17" t="s">
        <v>223</v>
      </c>
      <c r="B38" s="18" t="s">
        <v>490</v>
      </c>
      <c r="C38" s="19" t="inlineStr">
        <is>
          <t xml:space="preserve">Genişletilmiş</t>
        </is>
      </c>
      <c r="D38" s="19" t="s">
        <v>224</v>
      </c>
      <c r="E38" s="20" t="s">
        <v>225</v>
      </c>
      <c r="F38" s="20" t="s">
        <v>226</v>
      </c>
      <c r="G38" s="20" t="s">
        <v>227</v>
      </c>
      <c r="H38" s="19"/>
      <c r="I38" s="19" t="inlineStr">
        <is>
          <t xml:space="preserve">Takip tablosu, Pasif Emirler, Emir Geçmişi ve ilgili işlem ekranı.</t>
        </is>
      </c>
      <c r="J38" s="18" t="s">
        <v>79</v>
      </c>
      <c r="K38" s="18" t="s">
        <v>88</v>
      </c>
      <c r="L38" s="20"/>
      <c r="M38" s="21"/>
    </row>
    <row r="39" spans="1:13" ht="73.5" customHeight="1" x14ac:dyDescent="0.25">
      <c r="A39" s="17" t="s">
        <v>230</v>
      </c>
      <c r="B39" s="18" t="s">
        <v>922</v>
      </c>
      <c r="C39" s="19" t="inlineStr">
        <is>
          <t xml:space="preserve">Genişletilmiş</t>
        </is>
      </c>
      <c r="D39" s="19" t="s">
        <v>231</v>
      </c>
      <c r="E39" s="20" t="s">
        <v>232</v>
      </c>
      <c r="F39" s="20" t="s">
        <v>233</v>
      </c>
      <c r="G39" s="20" t="s">
        <v>234</v>
      </c>
      <c r="H39" s="19"/>
      <c r="I39" s="19" t="inlineStr">
        <is>
          <t xml:space="preserve">Takip tablosu, Pasif Emirler, Emir Geçmişi ve ilgili işlem ekranı.</t>
        </is>
      </c>
      <c r="J39" s="18" t="s">
        <v>79</v>
      </c>
      <c r="K39" s="18" t="s">
        <v>88</v>
      </c>
      <c r="L39" s="20"/>
      <c r="M39" s="21"/>
    </row>
    <row r="40" spans="1:13" ht="124.5" customHeight="1" x14ac:dyDescent="0.25">
      <c r="A40" s="17" t="s">
        <v>237</v>
      </c>
      <c r="B40" s="18" t="s">
        <v>923</v>
      </c>
      <c r="C40" s="19" t="inlineStr">
        <is>
          <t xml:space="preserve">Genişletilmiş</t>
        </is>
      </c>
      <c r="D40" s="19" t="s">
        <v>238</v>
      </c>
      <c r="E40" s="20" t="s">
        <v>239</v>
      </c>
      <c r="F40" s="20" t="s">
        <v>240</v>
      </c>
      <c r="G40" s="20" t="s">
        <v>241</v>
      </c>
      <c r="H40" s="19"/>
      <c r="I40" s="19" t="inlineStr">
        <is>
          <t xml:space="preserve">Takip tablosu, Pasif Emirler, Emir Geçmişi ve ilgili işlem ekranı.</t>
        </is>
      </c>
      <c r="J40" s="18" t="s">
        <v>79</v>
      </c>
      <c r="K40" s="18" t="s">
        <v>88</v>
      </c>
      <c r="L40" s="20"/>
      <c r="M40" s="21"/>
    </row>
    <row r="41" spans="1:13" x14ac:dyDescent="0.25" ht="112.0" customHeight="1">
      <c r="A41" s="17" t="s">
        <v>244</v>
      </c>
      <c r="B41" s="18" t="s">
        <v>490</v>
      </c>
      <c r="C41" s="19" t="inlineStr">
        <is>
          <t xml:space="preserve">Genişletilmiş</t>
        </is>
      </c>
      <c r="D41" s="19" t="s">
        <v>245</v>
      </c>
      <c r="E41" s="20" t="s">
        <v>246</v>
      </c>
      <c r="F41" s="20" t="s">
        <v>247</v>
      </c>
      <c r="G41" s="20" t="s">
        <v>248</v>
      </c>
      <c r="H41" s="19"/>
      <c r="I41" s="19" t="inlineStr">
        <is>
          <t xml:space="preserve">Takip tablosu, Pasif Emirler, Emir Geçmişi ve ilgili işlem ekranı.</t>
        </is>
      </c>
      <c r="J41" s="18" t="s">
        <v>79</v>
      </c>
      <c r="K41" s="18" t="s">
        <v>57</v>
      </c>
      <c r="L41" s="20"/>
      <c r="M41" s="21"/>
    </row>
    <row r="42" spans="1:13" ht="99" customHeight="1" x14ac:dyDescent="0.25">
      <c r="A42" s="17" t="s">
        <v>251</v>
      </c>
      <c r="B42" s="18" t="s">
        <v>490</v>
      </c>
      <c r="C42" s="19" t="inlineStr">
        <is>
          <t xml:space="preserve">Genişletilmiş</t>
        </is>
      </c>
      <c r="D42" s="19" t="s">
        <v>252</v>
      </c>
      <c r="E42" s="20" t="s">
        <v>253</v>
      </c>
      <c r="F42" s="20" t="s">
        <v>254</v>
      </c>
      <c r="G42" s="20" t="s">
        <v>255</v>
      </c>
      <c r="H42" s="19"/>
      <c r="I42" s="19" t="inlineStr">
        <is>
          <t xml:space="preserve">Takip tablosu, Pasif Emirler, Emir Geçmişi ve ilgili işlem ekranı.</t>
        </is>
      </c>
      <c r="J42" s="18" t="s">
        <v>79</v>
      </c>
      <c r="K42" s="18" t="s">
        <v>57</v>
      </c>
      <c r="L42" s="20"/>
      <c r="M42" s="21"/>
    </row>
    <row r="43" spans="1:13" ht="73.5" customHeight="1" x14ac:dyDescent="0.25">
      <c r="A43" s="17" t="s">
        <v>258</v>
      </c>
      <c r="B43" s="18" t="s">
        <v>490</v>
      </c>
      <c r="C43" s="19" t="inlineStr">
        <is>
          <t xml:space="preserve">Genişletilmiş</t>
        </is>
      </c>
      <c r="D43" s="19" t="s">
        <v>259</v>
      </c>
      <c r="E43" s="20" t="s">
        <v>260</v>
      </c>
      <c r="F43" s="20" t="s">
        <v>261</v>
      </c>
      <c r="G43" s="20" t="s">
        <v>262</v>
      </c>
      <c r="H43" s="19"/>
      <c r="I43" s="19" t="inlineStr">
        <is>
          <t xml:space="preserve">Takip tablosu, Pasif Emirler, Emir Geçmişi ve ilgili işlem ekranı.</t>
        </is>
      </c>
      <c r="J43" s="18" t="s">
        <v>79</v>
      </c>
      <c r="K43" s="18" t="s">
        <v>88</v>
      </c>
      <c r="L43" s="20"/>
      <c r="M43" s="21"/>
    </row>
    <row r="44" spans="1:13" ht="48" customHeight="1" x14ac:dyDescent="0.25">
      <c r="A44" s="17" t="s">
        <v>265</v>
      </c>
      <c r="B44" s="18" t="s">
        <v>490</v>
      </c>
      <c r="C44" s="19" t="inlineStr">
        <is>
          <t xml:space="preserve">Genişletilmiş</t>
        </is>
      </c>
      <c r="D44" s="19" t="s">
        <v>266</v>
      </c>
      <c r="E44" s="20" t="inlineStr">
        <is>
          <t xml:space="preserve">RA + Kanal: Fix. Test sorumlusu bu kanalın test hesabında kullanılabildiğini teyit etmiş.</t>
        </is>
      </c>
      <c r="F44" s="20" t="s">
        <v>268</v>
      </c>
      <c r="G44" s="20" t="inlineStr">
        <is>
          <t xml:space="preserve">Emirler seçilen Fix kanalıyla doğru hesapta görünür. Gerçekleşme oluşursa iki bacak ve paket miktarları uyumludur.</t>
        </is>
      </c>
      <c r="H44" s="19"/>
      <c r="I44" s="19" t="inlineStr">
        <is>
          <t xml:space="preserve">Takip tablosu, Pasif Emirler, Emir Geçmişi ve ilgili işlem ekranı.</t>
        </is>
      </c>
      <c r="J44" s="18" t="s">
        <v>79</v>
      </c>
      <c r="K44" s="18" t="s">
        <v>88</v>
      </c>
      <c r="L44" s="20"/>
      <c r="M44" s="21"/>
    </row>
    <row r="45" spans="1:13" ht="99" customHeight="1" x14ac:dyDescent="0.25">
      <c r="A45" s="17" t="s">
        <v>272</v>
      </c>
      <c r="B45" s="18" t="s">
        <v>12</v>
      </c>
      <c r="C45" s="19" t="inlineStr">
        <is>
          <t xml:space="preserve">Ana sanity</t>
        </is>
      </c>
      <c r="D45" s="19" t="s">
        <v>273</v>
      </c>
      <c r="E45" s="20" t="s">
        <v>274</v>
      </c>
      <c r="F45" s="20" t="s">
        <v>275</v>
      </c>
      <c r="G45" s="20" t="s">
        <v>276</v>
      </c>
      <c r="H45" s="19" t="s">
        <v>852</v>
      </c>
      <c r="I45" s="19" t="inlineStr">
        <is>
          <t xml:space="preserve">Takip tablosu, Pasif Emirler, Emir Geçmişi ve ilgili işlem ekranı.</t>
        </is>
      </c>
      <c r="J45" s="18" t="s">
        <v>79</v>
      </c>
      <c r="K45" s="18" t="s">
        <v>57</v>
      </c>
      <c r="L45" s="20"/>
      <c r="M45" s="21"/>
    </row>
    <row r="46" spans="1:13" x14ac:dyDescent="0.25" ht="99.0" customHeight="1">
      <c r="A46" s="17" t="s">
        <v>278</v>
      </c>
      <c r="B46" s="18" t="s">
        <v>924</v>
      </c>
      <c r="C46" s="19" t="inlineStr">
        <is>
          <t xml:space="preserve">Ana sanity</t>
        </is>
      </c>
      <c r="D46" s="19" t="s">
        <v>280</v>
      </c>
      <c r="E46" s="20" t="s">
        <v>281</v>
      </c>
      <c r="F46" s="20" t="s">
        <v>896</v>
      </c>
      <c r="G46" s="20" t="s">
        <v>283</v>
      </c>
      <c r="H46" s="19"/>
      <c r="I46" s="19" t="inlineStr">
        <is>
          <t xml:space="preserve">Takip tablosu, Pasif Emirler, Emir Geçmişi ve ilgili işlem ekranı.</t>
        </is>
      </c>
      <c r="J46" s="18" t="s">
        <v>79</v>
      </c>
      <c r="K46" s="18" t="s">
        <v>57</v>
      </c>
      <c r="L46" s="20"/>
      <c r="M46" s="21"/>
    </row>
    <row r="47" spans="1:13" x14ac:dyDescent="0.25" ht="151.0" customHeight="1">
      <c r="A47" s="17" t="s">
        <v>286</v>
      </c>
      <c r="B47" s="18" t="s">
        <v>925</v>
      </c>
      <c r="C47" s="19" t="inlineStr">
        <is>
          <t xml:space="preserve">Ana sanity</t>
        </is>
      </c>
      <c r="D47" s="19" t="s">
        <v>287</v>
      </c>
      <c r="E47" s="20" t="s">
        <v>288</v>
      </c>
      <c r="F47" s="20" t="s">
        <v>898</v>
      </c>
      <c r="G47" s="20" t="s">
        <v>290</v>
      </c>
      <c r="H47" s="19"/>
      <c r="I47" s="19" t="inlineStr">
        <is>
          <t xml:space="preserve">Takip tablosu, Pasif Emirler, Emir Geçmişi ve ilgili işlem ekranı.</t>
        </is>
      </c>
      <c r="J47" s="18" t="s">
        <v>79</v>
      </c>
      <c r="K47" s="18" t="s">
        <v>57</v>
      </c>
      <c r="L47" s="20"/>
      <c r="M47" s="21"/>
    </row>
    <row r="48" spans="1:13" ht="48" customHeight="1" x14ac:dyDescent="0.25">
      <c r="A48" s="17" t="s">
        <v>293</v>
      </c>
      <c r="B48" s="18" t="s">
        <v>926</v>
      </c>
      <c r="C48" s="19" t="inlineStr">
        <is>
          <t xml:space="preserve">Karar bekliyor</t>
        </is>
      </c>
      <c r="D48" s="19" t="s">
        <v>294</v>
      </c>
      <c r="E48" s="20" t="s">
        <v>295</v>
      </c>
      <c r="F48" s="20" t="s">
        <v>296</v>
      </c>
      <c r="G48" s="20" t="s">
        <v>297</v>
      </c>
      <c r="H48" s="19"/>
      <c r="I48" s="19" t="inlineStr">
        <is>
          <t xml:space="preserve">Takip tablosu, Pasif Emirler, Emir Geçmişi ve ilgili işlem ekranı.</t>
        </is>
      </c>
      <c r="J48" s="18" t="s">
        <v>79</v>
      </c>
      <c r="K48" s="18" t="s">
        <v>57</v>
      </c>
      <c r="L48" s="20" t="inlineStr">
        <is>
          <t xml:space="preserve">Otomatik yön ve girilen kademelerin uygulanması tutarsız görünüyor. Beklenen davranış doğrulanmadan başarılı/başarısız sonucu vermeyin; R01 ile değerlendirin.</t>
        </is>
      </c>
      <c r="M48" s="21"/>
    </row>
    <row r="49" spans="1:13" ht="86.25" customHeight="1" x14ac:dyDescent="0.25">
      <c r="A49" s="17" t="s">
        <v>300</v>
      </c>
      <c r="B49" s="18" t="s">
        <v>927</v>
      </c>
      <c r="C49" s="19" t="inlineStr">
        <is>
          <t xml:space="preserve">Genişletilmiş</t>
        </is>
      </c>
      <c r="D49" s="19" t="s">
        <v>301</v>
      </c>
      <c r="E49" s="20" t="s">
        <v>302</v>
      </c>
      <c r="F49" s="20" t="s">
        <v>303</v>
      </c>
      <c r="G49" s="20" t="s">
        <v>304</v>
      </c>
      <c r="H49" s="19"/>
      <c r="I49" s="19" t="inlineStr">
        <is>
          <t xml:space="preserve">Takip tablosu, Pasif Emirler, Emir Geçmişi ve ilgili işlem ekranı.</t>
        </is>
      </c>
      <c r="J49" s="18" t="s">
        <v>79</v>
      </c>
      <c r="K49" s="18" t="s">
        <v>88</v>
      </c>
      <c r="L49" s="20"/>
      <c r="M49" s="21"/>
    </row>
    <row r="50" spans="1:13" ht="86.25" customHeight="1" x14ac:dyDescent="0.25">
      <c r="A50" s="17" t="s">
        <v>307</v>
      </c>
      <c r="B50" s="18" t="s">
        <v>928</v>
      </c>
      <c r="C50" s="19" t="inlineStr">
        <is>
          <t xml:space="preserve">Ana sanity</t>
        </is>
      </c>
      <c r="D50" s="19" t="s">
        <v>308</v>
      </c>
      <c r="E50" s="20" t="s">
        <v>309</v>
      </c>
      <c r="F50" s="20" t="s">
        <v>310</v>
      </c>
      <c r="G50" s="20" t="s">
        <v>311</v>
      </c>
      <c r="H50" s="19"/>
      <c r="I50" s="19" t="inlineStr">
        <is>
          <t xml:space="preserve">Takip tablosu, Pasif Emirler, Emir Geçmişi ve ilgili işlem ekranı.</t>
        </is>
      </c>
      <c r="J50" s="18" t="s">
        <v>79</v>
      </c>
      <c r="K50" s="18" t="s">
        <v>57</v>
      </c>
      <c r="L50" s="20" t="inlineStr">
        <is>
          <t xml:space="preserve">İki bacağın beklenen miktarını işlemden önce kaydedin. Opsiyonel ayarlarda miktar değiştirilecekse önce R04 kontrolü tamamlanmalıdır.</t>
        </is>
      </c>
      <c r="M50" s="21"/>
    </row>
    <row r="51" spans="1:13" ht="86.25" customHeight="1" x14ac:dyDescent="0.25">
      <c r="A51" s="17" t="s">
        <v>314</v>
      </c>
      <c r="B51" s="18" t="s">
        <v>929</v>
      </c>
      <c r="C51" s="19" t="inlineStr">
        <is>
          <t xml:space="preserve">Ana sanity</t>
        </is>
      </c>
      <c r="D51" s="19" t="s">
        <v>315</v>
      </c>
      <c r="E51" s="20" t="s">
        <v>316</v>
      </c>
      <c r="F51" s="20" t="s">
        <v>317</v>
      </c>
      <c r="G51" s="20" t="s">
        <v>318</v>
      </c>
      <c r="H51" s="19"/>
      <c r="I51" s="19" t="inlineStr">
        <is>
          <t xml:space="preserve">Takip tablosu, Pasif Emirler, Emir Geçmişi ve ilgili işlem ekranı.</t>
        </is>
      </c>
      <c r="J51" s="18" t="s">
        <v>79</v>
      </c>
      <c r="K51" s="18" t="s">
        <v>57</v>
      </c>
      <c r="L51" s="20" t="inlineStr">
        <is>
          <t xml:space="preserve">İki vadenin tarihlerini ve beklenen eşit kontrat miktarını kaydedin. Opsiyonel miktar değişikliği ayrıca R04 kapsamındadır.</t>
        </is>
      </c>
      <c r="M51" s="21"/>
    </row>
    <row r="52" spans="1:13" ht="60.75" customHeight="1" x14ac:dyDescent="0.25">
      <c r="A52" s="17" t="s">
        <v>321</v>
      </c>
      <c r="B52" s="18" t="s">
        <v>930</v>
      </c>
      <c r="C52" s="19" t="inlineStr">
        <is>
          <t xml:space="preserve">Ana sanity</t>
        </is>
      </c>
      <c r="D52" s="19" t="s">
        <v>322</v>
      </c>
      <c r="E52" s="20" t="s">
        <v>323</v>
      </c>
      <c r="F52" s="20" t="s">
        <v>324</v>
      </c>
      <c r="G52" s="20" t="s">
        <v>325</v>
      </c>
      <c r="H52" s="19"/>
      <c r="I52" s="19" t="inlineStr">
        <is>
          <t xml:space="preserve">Takip tablosu, Pasif Emirler, Emir Geçmişi ve ilgili işlem ekranı.</t>
        </is>
      </c>
      <c r="J52" s="18" t="s">
        <v>79</v>
      </c>
      <c r="K52" s="18" t="s">
        <v>88</v>
      </c>
      <c r="L52" s="20"/>
      <c r="M52" s="21"/>
    </row>
    <row r="53" spans="1:13" x14ac:dyDescent="0.25" ht="203.0" customHeight="1">
      <c r="A53" s="17" t="s">
        <v>328</v>
      </c>
      <c r="B53" s="18" t="s">
        <v>931</v>
      </c>
      <c r="C53" s="19" t="inlineStr">
        <is>
          <t xml:space="preserve">Ana sanity</t>
        </is>
      </c>
      <c r="D53" s="19" t="s">
        <v>330</v>
      </c>
      <c r="E53" s="20" t="s">
        <v>331</v>
      </c>
      <c r="F53" s="20" t="s">
        <v>901</v>
      </c>
      <c r="G53" s="20" t="s">
        <v>333</v>
      </c>
      <c r="H53" s="19"/>
      <c r="I53" s="19" t="inlineStr">
        <is>
          <t xml:space="preserve">Takip tablosu, Pasif Emirler, Emir Geçmişi ve ilgili işlem ekranı.</t>
        </is>
      </c>
      <c r="J53" s="18" t="s">
        <v>79</v>
      </c>
      <c r="K53" s="18" t="s">
        <v>88</v>
      </c>
      <c r="L53" s="20"/>
      <c r="M53" s="21"/>
    </row>
    <row r="54" spans="1:13" ht="86.25" customHeight="1" x14ac:dyDescent="0.25">
      <c r="A54" s="17" t="s">
        <v>336</v>
      </c>
      <c r="B54" s="18" t="s">
        <v>932</v>
      </c>
      <c r="C54" s="19" t="inlineStr">
        <is>
          <t xml:space="preserve">Ana sanity</t>
        </is>
      </c>
      <c r="D54" s="19" t="s">
        <v>337</v>
      </c>
      <c r="E54" s="20" t="s">
        <v>338</v>
      </c>
      <c r="F54" s="20" t="s">
        <v>339</v>
      </c>
      <c r="G54" s="20" t="s">
        <v>340</v>
      </c>
      <c r="H54" s="19"/>
      <c r="I54" s="19" t="inlineStr">
        <is>
          <t xml:space="preserve">Takip tablosu, Pasif Emirler, Emir Geçmişi ve ilgili işlem ekranı.</t>
        </is>
      </c>
      <c r="J54" s="18" t="s">
        <v>79</v>
      </c>
      <c r="K54" s="18" t="s">
        <v>88</v>
      </c>
      <c r="L54" s="20"/>
      <c r="M54" s="21"/>
    </row>
    <row r="55" spans="1:13" ht="73.5" customHeight="1" x14ac:dyDescent="0.25">
      <c r="A55" s="17" t="s">
        <v>343</v>
      </c>
      <c r="B55" s="18" t="inlineStr">
        <is>
          <t xml:space="preserve">Kısmen</t>
        </is>
      </c>
      <c r="C55" s="19" t="inlineStr">
        <is>
          <t xml:space="preserve">Genişletilmiş</t>
        </is>
      </c>
      <c r="D55" s="19" t="s">
        <v>344</v>
      </c>
      <c r="E55" s="20" t="s">
        <v>338</v>
      </c>
      <c r="F55" s="20" t="s">
        <v>345</v>
      </c>
      <c r="G55" s="20" t="inlineStr">
        <is>
          <t xml:space="preserve">Ekrandaki V.K.G. vade tarihine kalan günü gösterir. Faiz hesabında kullanılan süre, tatil ve takas günlerinden etkilenebilir; iki değeri ayrı kaydedip onaylı hesapla karşılaştırın.</t>
        </is>
      </c>
      <c r="H55" s="19" t="s">
        <v>853</v>
      </c>
      <c r="I55" s="19" t="inlineStr">
        <is>
          <t xml:space="preserve">Takip tablosu, Pasif Emirler, Emir Geçmişi ve ilgili işlem ekranı.</t>
        </is>
      </c>
      <c r="J55" s="18" t="s">
        <v>79</v>
      </c>
      <c r="K55" s="18" t="s">
        <v>88</v>
      </c>
      <c r="L55" s="20" t="inlineStr">
        <is>
          <t xml:space="preserve">Önceki gözlem: ekrandaki gün sayısı doğru bulunmuş. Bekleyen: tatil ve takas günleri dikkate alınarak hesaplanan süreyle karşılaştırma.</t>
        </is>
      </c>
      <c r="M55" s="21"/>
    </row>
    <row r="56" spans="1:13" x14ac:dyDescent="0.25" ht="151.0" customHeight="1">
      <c r="A56" s="17" t="s">
        <v>348</v>
      </c>
      <c r="B56" s="18" t="s">
        <v>933</v>
      </c>
      <c r="C56" s="19" t="inlineStr">
        <is>
          <t xml:space="preserve">Karar bekliyor</t>
        </is>
      </c>
      <c r="D56" s="19" t="s">
        <v>349</v>
      </c>
      <c r="E56" s="20" t="inlineStr">
        <is>
          <t xml:space="preserve">Açılışı ve kapanışı tamamlanmış bir paket; gösterilen kârın birimi ve masraf kapsamı test sorumlusuyla netleştirilmiş.</t>
        </is>
      </c>
      <c r="F56" s="20" t="inlineStr">
        <is>
          <t xml:space="preserve">1. Paketin iki bacağındaki açılış/kapanış fiyatlarını ve gerçekleşen miktarları kaydedin.
2. Her bacağın alış ve satış tutarından beklenen kârı hesaplayın; sözleşme çarpanını dikkate alın.
3. Arbitraj Hareketleri ekranındaki Net Kâr ve Toplam Kâr değerlerini aynı birimle karşılaştırın.
4. Boş alan veya tutarsızlık varsa ekran görüntüsüyle kaydedin.</t>
        </is>
      </c>
      <c r="G56" s="20" t="inlineStr">
        <is>
          <t xml:space="preserve">Ekranda gösterilen kâr, kararlaştırılmış birim ve masraf kapsamına göre hesaplanan değerle uyumludur. Birim/kapsam belirlenmemişse test tamamlanmış sayılmaz.</t>
        </is>
      </c>
      <c r="H56" s="19"/>
      <c r="I56" s="19" t="inlineStr">
        <is>
          <t xml:space="preserve">Takip tablosu, Pasif Emirler, Emir Geçmişi ve ilgili işlem ekranı.</t>
        </is>
      </c>
      <c r="J56" s="18" t="s">
        <v>79</v>
      </c>
      <c r="K56" s="18" t="s">
        <v>88</v>
      </c>
      <c r="L56" s="20" t="inlineStr">
        <is>
          <t xml:space="preserve">Önceki kayıtta kârın ekrandaki gösterimiyle ilgili belirsizlik bulunuyor; beklenen değer netleşmeden karşılaştırma yapılamaz.</t>
        </is>
      </c>
      <c r="M56" s="21"/>
    </row>
    <row r="57" spans="1:13" ht="111.75" customHeight="1" x14ac:dyDescent="0.25">
      <c r="A57" s="17" t="s">
        <v>355</v>
      </c>
      <c r="B57" s="18" t="s">
        <v>825</v>
      </c>
      <c r="C57" s="19" t="inlineStr">
        <is>
          <t xml:space="preserve">Ana sanity</t>
        </is>
      </c>
      <c r="D57" s="19" t="s">
        <v>357</v>
      </c>
      <c r="E57" s="20" t="s">
        <v>358</v>
      </c>
      <c r="F57" s="20" t="s">
        <v>359</v>
      </c>
      <c r="G57" s="20" t="inlineStr">
        <is>
          <t xml:space="preserve">Strateji durmuş görünür ve yeni açılış yapmaz. Bekleyen vadeli emirler iptal edilir; mevcut paketler ve gerçekleşmiş pozisyon korunur. Bekleyen spot emir varsa miktarı kaydedilir ve R03 kapsamındaki durdurma kuralıyla karşılaştırılır.</t>
        </is>
      </c>
      <c r="H57" s="19"/>
      <c r="I57" s="19" t="inlineStr">
        <is>
          <t xml:space="preserve">Takip tablosu, Pasif Emirler, Emir Geçmişi ve ilgili işlem ekranı.</t>
        </is>
      </c>
      <c r="J57" s="18" t="s">
        <v>79</v>
      </c>
      <c r="K57" s="18" t="s">
        <v>57</v>
      </c>
      <c r="L57" s="20" t="inlineStr">
        <is>
          <t xml:space="preserve">Durdurmak, tüm pozisyonları kapatmak değildir. Spot emir iptali için kararlaştırılmamış bir beklenti kullanmayın.</t>
        </is>
      </c>
      <c r="M57" s="21"/>
    </row>
    <row r="58" spans="1:13" ht="86.25" customHeight="1" x14ac:dyDescent="0.25">
      <c r="A58" s="17" t="s">
        <v>362</v>
      </c>
      <c r="B58" s="18" t="s">
        <v>12</v>
      </c>
      <c r="C58" s="19" t="inlineStr">
        <is>
          <t xml:space="preserve">Ana sanity</t>
        </is>
      </c>
      <c r="D58" s="19" t="s">
        <v>363</v>
      </c>
      <c r="E58" s="20" t="s">
        <v>364</v>
      </c>
      <c r="F58" s="20" t="s">
        <v>365</v>
      </c>
      <c r="G58" s="20" t="s">
        <v>366</v>
      </c>
      <c r="H58" s="19"/>
      <c r="I58" s="19" t="inlineStr">
        <is>
          <t xml:space="preserve">Takip tablosu, Pasif Emirler, Emir Geçmişi ve ilgili işlem ekranı.</t>
        </is>
      </c>
      <c r="J58" s="18" t="s">
        <v>79</v>
      </c>
      <c r="K58" s="18" t="s">
        <v>57</v>
      </c>
      <c r="L58" s="20"/>
      <c r="M58" s="21"/>
    </row>
    <row r="59" spans="1:13" ht="86.25" customHeight="1" x14ac:dyDescent="0.25">
      <c r="A59" s="17" t="s">
        <v>368</v>
      </c>
      <c r="B59" s="18" t="s">
        <v>825</v>
      </c>
      <c r="C59" s="19" t="inlineStr">
        <is>
          <t xml:space="preserve">Genişletilmiş</t>
        </is>
      </c>
      <c r="D59" s="19" t="inlineStr">
        <is>
          <t xml:space="preserve">Ertesi gün paket ve pozisyonların korunması</t>
        </is>
      </c>
      <c r="E59" s="20" t="s">
        <v>370</v>
      </c>
      <c r="F59" s="20" t="inlineStr">
        <is>
          <t xml:space="preserve">1. Gün sonundaki açık paketleri, pozisyonları ve K.P. değerini kaydedin.
2. Ertesi gün Arbitraj ekranını açıp aynı çifti kontrol edin.
3. Stratejiyi başlatın; mevcut paketler için kapanış emri oluştuğunu kontrol edin.</t>
        </is>
      </c>
      <c r="G59" s="20" t="inlineStr">
        <is>
          <t xml:space="preserve">Önceki günden kalan açık paketler ve pozisyonlar tekrar görünür. Yeni günün kapanış sayacı 0 olur; başlatınca mevcut paketler kapanış için değerlendirilir.</t>
        </is>
      </c>
      <c r="H59" s="19"/>
      <c r="I59" s="19" t="inlineStr">
        <is>
          <t xml:space="preserve">Takip tablosu, Pasif Emirler, Emir Geçmişi ve ilgili işlem ekranı.</t>
        </is>
      </c>
      <c r="J59" s="18" t="s">
        <v>87</v>
      </c>
      <c r="K59" s="18" t="s">
        <v>57</v>
      </c>
      <c r="L59" s="20" t="inlineStr">
        <is>
          <t xml:space="preserve">Günler arası kontrol gerektirir; aynı gün yapılan ekran yenilemesi bu testin yerine geçmez.</t>
        </is>
      </c>
      <c r="M59" s="21"/>
    </row>
    <row r="60" spans="1:13" ht="86.25" customHeight="1" x14ac:dyDescent="0.25">
      <c r="A60" s="17" t="s">
        <v>375</v>
      </c>
      <c r="B60" s="18" t="s">
        <v>934</v>
      </c>
      <c r="C60" s="19" t="inlineStr">
        <is>
          <t xml:space="preserve">Genişletilmiş</t>
        </is>
      </c>
      <c r="D60" s="19" t="s">
        <v>376</v>
      </c>
      <c r="E60" s="20" t="s">
        <v>377</v>
      </c>
      <c r="F60"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60" s="20" t="s">
        <v>379</v>
      </c>
      <c r="H60" s="19"/>
      <c r="I60" s="19" t="inlineStr">
        <is>
          <t xml:space="preserve">Takip tablosu, Pasif Emirler, Emir Geçmişi ve ilgili işlem ekranı.</t>
        </is>
      </c>
      <c r="J60" s="18" t="s">
        <v>79</v>
      </c>
      <c r="K60" s="18" t="s">
        <v>88</v>
      </c>
      <c r="L60" s="20"/>
      <c r="M60" s="21"/>
    </row>
    <row r="61" spans="1:13" ht="48" customHeight="1" x14ac:dyDescent="0.25">
      <c r="A61" s="17" t="s">
        <v>382</v>
      </c>
      <c r="B61" s="18" t="s">
        <v>935</v>
      </c>
      <c r="C61" s="19" t="inlineStr">
        <is>
          <t xml:space="preserve">Genişletilmiş</t>
        </is>
      </c>
      <c r="D61" s="19" t="s">
        <v>383</v>
      </c>
      <c r="E61" s="20" t="s">
        <v>384</v>
      </c>
      <c r="F61" s="20" t="s">
        <v>909</v>
      </c>
      <c r="G61" s="20" t="s">
        <v>386</v>
      </c>
      <c r="H61" s="19"/>
      <c r="I61" s="19" t="inlineStr">
        <is>
          <t xml:space="preserve">Takip tablosu, Pasif Emirler, Emir Geçmişi ve ilgili işlem ekranı.</t>
        </is>
      </c>
      <c r="J61" s="18" t="s">
        <v>79</v>
      </c>
      <c r="K61" s="18" t="s">
        <v>388</v>
      </c>
      <c r="L61" s="20"/>
      <c r="M61" s="21"/>
    </row>
    <row r="62" spans="1:13" ht="99" customHeight="1" x14ac:dyDescent="0.25">
      <c r="A62" s="17" t="s">
        <v>389</v>
      </c>
      <c r="B62" s="18" t="s">
        <v>936</v>
      </c>
      <c r="C62" s="19" t="inlineStr">
        <is>
          <t xml:space="preserve">Ana sanity</t>
        </is>
      </c>
      <c r="D62" s="19" t="s">
        <v>390</v>
      </c>
      <c r="E62" s="20" t="inlineStr">
        <is>
          <t xml:space="preserve">Test sorumlusunca hazırlanmış düşük limitli test hesabı; beklenen ret koşulu ve denenecek miktar önceden kaydedilmiş.</t>
        </is>
      </c>
      <c r="F62" s="20" t="s">
        <v>392</v>
      </c>
      <c r="G62" s="20" t="s">
        <v>393</v>
      </c>
      <c r="H62" s="19"/>
      <c r="I62" s="19" t="inlineStr">
        <is>
          <t xml:space="preserve">Takip tablosu, Pasif Emirler, Emir Geçmişi ve ilgili işlem ekranı.</t>
        </is>
      </c>
      <c r="J62" s="18" t="s">
        <v>79</v>
      </c>
      <c r="K62" s="18" t="s">
        <v>57</v>
      </c>
      <c r="L62" s="20" t="inlineStr">
        <is>
          <t xml:space="preserve">Ret koşulu hazırlanamıyorsa Bloke seçin; reddedilmeyen emirle bu kontrol tamamlanamaz.</t>
        </is>
      </c>
      <c r="M62" s="21"/>
    </row>
    <row r="63" spans="1:13" x14ac:dyDescent="0.25" ht="112.0" customHeight="1">
      <c r="A63" s="17" t="s">
        <v>396</v>
      </c>
      <c r="B63" s="18" t="s">
        <v>911</v>
      </c>
      <c r="C63" s="19" t="inlineStr">
        <is>
          <t xml:space="preserve">Ana sanity</t>
        </is>
      </c>
      <c r="D63" s="19" t="s">
        <v>397</v>
      </c>
      <c r="E63" s="20" t="s">
        <v>398</v>
      </c>
      <c r="F63" s="20" t="s">
        <v>399</v>
      </c>
      <c r="G63" s="20" t="inlineStr">
        <is>
          <t xml:space="preserve">Seçilen hesaptaki bekleyen emirler iptal edilir ve sonuç ekranda görünür. Sonradan yeni emir oluşup oluşmadığı ayrıca kaydedilir. Aktiften Kapat seçeneğinin pozisyona etkisi kararlaştırılmış davranışla karşılaştırılır.</t>
        </is>
      </c>
      <c r="H63" s="19"/>
      <c r="I63" s="19" t="inlineStr">
        <is>
          <t xml:space="preserve">Takip tablosu, Pasif Emirler, Emir Geçmişi ve ilgili işlem ekranı.</t>
        </is>
      </c>
      <c r="J63" s="18" t="s">
        <v>79</v>
      </c>
      <c r="K63" s="18" t="s">
        <v>88</v>
      </c>
      <c r="L63" s="20" t="inlineStr">
        <is>
          <t xml:space="preserve">Önceki Bloke sonucu korunmuştur. Aktiften Kapat adımı için beklenen pozisyon davranışı net değilse bu adımı tamamlanmış saymayın.</t>
        </is>
      </c>
      <c r="M63" s="21"/>
    </row>
    <row r="64" spans="1:13" x14ac:dyDescent="0.25" ht="112.0" customHeight="1">
      <c r="A64" s="17" t="s">
        <v>402</v>
      </c>
      <c r="B64" s="18" t="s">
        <v>937</v>
      </c>
      <c r="C64" s="19" t="inlineStr">
        <is>
          <t xml:space="preserve">Ana sanity</t>
        </is>
      </c>
      <c r="D64" s="19" t="s">
        <v>404</v>
      </c>
      <c r="E64" s="20" t="inlineStr">
        <is>
          <t xml:space="preserve">Arbitraj panelinde çift ekleme penceresi açık; test hesabı, geçerli vadeli ve dayanak seçilmiş.</t>
        </is>
      </c>
      <c r="F64"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64" s="20" t="inlineStr">
        <is>
          <t xml:space="preserve">Geçerli çift kaydedilir ve yenileme sonrası görünür. Eksik/geçersiz girişte kayıt engellenir ve kullanıcı anlaşılır biçimde bilgilendirilir.</t>
        </is>
      </c>
      <c r="H64" s="19"/>
      <c r="I64" s="19" t="inlineStr">
        <is>
          <t xml:space="preserve">Takip tablosu, Pasif Emirler, Emir Geçmişi ve ilgili işlem ekranı.</t>
        </is>
      </c>
      <c r="J64" s="18" t="s">
        <v>79</v>
      </c>
      <c r="K64" s="18" t="s">
        <v>57</v>
      </c>
      <c r="L64" s="20"/>
      <c r="M64" s="21"/>
    </row>
    <row r="65" spans="1:13" ht="73.5" customHeight="1" x14ac:dyDescent="0.25">
      <c r="A65" s="17" t="s">
        <v>410</v>
      </c>
      <c r="B65" s="18" t="s">
        <v>490</v>
      </c>
      <c r="C65" s="19" t="inlineStr">
        <is>
          <t xml:space="preserve">Ana sanity</t>
        </is>
      </c>
      <c r="D65" s="19" t="s">
        <v>411</v>
      </c>
      <c r="E65" s="20" t="s">
        <v>412</v>
      </c>
      <c r="F65" s="20" t="s">
        <v>413</v>
      </c>
      <c r="G65" s="20" t="s">
        <v>414</v>
      </c>
      <c r="H65" s="19"/>
      <c r="I65" s="19" t="inlineStr">
        <is>
          <t xml:space="preserve">Takip tablosu, Pasif Emirler, Emir Geçmişi ve ilgili işlem ekranı.</t>
        </is>
      </c>
      <c r="J65" s="18" t="s">
        <v>79</v>
      </c>
      <c r="K65" s="18" t="s">
        <v>88</v>
      </c>
      <c r="L65" s="20"/>
      <c r="M65" s="21"/>
    </row>
    <row r="66" spans="1:13" x14ac:dyDescent="0.25" ht="73.0" customHeight="1">
      <c r="A66" s="17" t="s">
        <v>417</v>
      </c>
      <c r="B66" s="18" t="s">
        <v>12</v>
      </c>
      <c r="C66" s="19" t="inlineStr">
        <is>
          <t xml:space="preserve">Ana sanity</t>
        </is>
      </c>
      <c r="D66" s="19" t="s">
        <v>418</v>
      </c>
      <c r="E66" s="20" t="s">
        <v>419</v>
      </c>
      <c r="F66" s="20" t="s">
        <v>420</v>
      </c>
      <c r="G66" s="20" t="s">
        <v>421</v>
      </c>
      <c r="H66" s="27" t="inlineStr">
        <is>
          <t xml:space="preserve">Vadesi geçmiş bir kontrat hiçbir şekilde listeye eklenmiyor. Kullanıcıya panele eklenemediğine dair enstrüman kimliği değerini gösteriyoruz. </t>
        </is>
      </c>
      <c r="I66" s="19" t="inlineStr">
        <is>
          <t xml:space="preserve">Takip tablosu, Pasif Emirler, Emir Geçmişi ve ilgili işlem ekranı.</t>
        </is>
      </c>
      <c r="J66" s="18" t="s">
        <v>79</v>
      </c>
      <c r="K66" s="18" t="s">
        <v>388</v>
      </c>
      <c r="L66" s="20" t="inlineStr">
        <is>
          <t xml:space="preserve">Önceki gözlemde yalnız terimler sadeleştirildi; sonuç ve anlam korunmuştur.</t>
        </is>
      </c>
      <c r="M66" s="21"/>
    </row>
    <row r="67" spans="1:13" x14ac:dyDescent="0.25" ht="73.0" customHeight="1">
      <c r="A67" s="17" t="s">
        <v>423</v>
      </c>
      <c r="B67" s="18" t="s">
        <v>490</v>
      </c>
      <c r="C67" s="19" t="inlineStr">
        <is>
          <t xml:space="preserve">Genişletilmiş</t>
        </is>
      </c>
      <c r="D67" s="19" t="s">
        <v>424</v>
      </c>
      <c r="E67" s="20" t="s">
        <v>425</v>
      </c>
      <c r="F67" s="20" t="s">
        <v>426</v>
      </c>
      <c r="G67" s="20" t="s">
        <v>427</v>
      </c>
      <c r="H67" s="19"/>
      <c r="I67" s="19" t="inlineStr">
        <is>
          <t xml:space="preserve">Takip tablosu, Pasif Emirler, Emir Geçmişi ve ilgili işlem ekranı.</t>
        </is>
      </c>
      <c r="J67" s="18" t="s">
        <v>79</v>
      </c>
      <c r="K67" s="18" t="s">
        <v>57</v>
      </c>
      <c r="L67" s="20"/>
      <c r="M67" s="21"/>
    </row>
    <row r="68" spans="1:13" x14ac:dyDescent="0.25" ht="73.0" customHeight="1">
      <c r="A68" s="17" t="s">
        <v>430</v>
      </c>
      <c r="B68" s="18" t="inlineStr">
        <is>
          <t xml:space="preserve">Kısmen</t>
        </is>
      </c>
      <c r="C68" s="19" t="inlineStr">
        <is>
          <t xml:space="preserve">Ana sanity</t>
        </is>
      </c>
      <c r="D68" s="19" t="s">
        <v>431</v>
      </c>
      <c r="E68" s="20" t="s">
        <v>432</v>
      </c>
      <c r="F68"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8" s="20" t="inlineStr">
        <is>
          <t xml:space="preserve">Ayarı hazır olmayan çiftte kullanıcı bilgilendirilir. Geçerli değişiklik kaydedilir; pencereyi tekrar açınca ve sayfayı yenileyince aynı değerler görünür. Başarısız işlem başarı olarak gösterilmez.</t>
        </is>
      </c>
      <c r="H68" s="19" t="s">
        <v>859</v>
      </c>
      <c r="I68" s="19" t="inlineStr">
        <is>
          <t xml:space="preserve">Takip tablosu, Pasif Emirler, Emir Geçmişi ve ilgili işlem ekranı.</t>
        </is>
      </c>
      <c r="J68" s="18" t="s">
        <v>79</v>
      </c>
      <c r="K68" s="18" t="s">
        <v>88</v>
      </c>
      <c r="L68" s="20" t="inlineStr">
        <is>
          <t xml:space="preserve">Önceki gözlem: ayarlar kaydedilmiş. Bekleyen: ayarı hazır olmayan çiftte uyarı, pencereyi yeniden açma ve sayfa yenileme sonrası değer karşılaştırması.</t>
        </is>
      </c>
      <c r="M68" s="21"/>
    </row>
    <row r="69" spans="1:13" ht="73.5" customHeight="1" x14ac:dyDescent="0.25">
      <c r="A69" s="17" t="s">
        <v>436</v>
      </c>
      <c r="B69" s="18" t="s">
        <v>825</v>
      </c>
      <c r="C69" s="19" t="inlineStr">
        <is>
          <t xml:space="preserve">Genişletilmiş</t>
        </is>
      </c>
      <c r="D69" s="19" t="s">
        <v>437</v>
      </c>
      <c r="E69" s="20" t="s">
        <v>438</v>
      </c>
      <c r="F69" s="20" t="s">
        <v>439</v>
      </c>
      <c r="G69" s="20" t="s">
        <v>440</v>
      </c>
      <c r="H69" s="19"/>
      <c r="I69" s="19" t="inlineStr">
        <is>
          <t xml:space="preserve">Takip tablosu, Pasif Emirler, Emir Geçmişi ve ilgili işlem ekranı.</t>
        </is>
      </c>
      <c r="J69" s="18" t="s">
        <v>79</v>
      </c>
      <c r="K69" s="18" t="s">
        <v>88</v>
      </c>
      <c r="L69" s="20"/>
      <c r="M69" s="21"/>
    </row>
    <row r="70" spans="1:13" ht="73.5" customHeight="1" x14ac:dyDescent="0.25">
      <c r="A70" s="17" t="s">
        <v>442</v>
      </c>
      <c r="B70" s="18" t="s">
        <v>490</v>
      </c>
      <c r="C70" s="19" t="inlineStr">
        <is>
          <t xml:space="preserve">Ana sanity</t>
        </is>
      </c>
      <c r="D70" s="19" t="s">
        <v>443</v>
      </c>
      <c r="E70" s="20" t="s">
        <v>444</v>
      </c>
      <c r="F70" s="20" t="s">
        <v>445</v>
      </c>
      <c r="G70" s="20" t="inlineStr">
        <is>
          <t xml:space="preserve">Çalışan ve durmuş çiftler birlikte seçildiğinde seçilenler başlatılır; hepsi çalışırken toplu işlem durdurur. Her satırın durumu sonuç bildirimiyle uyumludur; kısmi başarısızlık tam başarı gösterilmez.</t>
        </is>
      </c>
      <c r="H70" s="19"/>
      <c r="I70" s="19" t="inlineStr">
        <is>
          <t xml:space="preserve">Takip tablosu, Pasif Emirler, Emir Geçmişi ve ilgili işlem ekranı.</t>
        </is>
      </c>
      <c r="J70" s="18" t="s">
        <v>79</v>
      </c>
      <c r="K70" s="18" t="s">
        <v>88</v>
      </c>
      <c r="L70" s="20"/>
      <c r="M70" s="21"/>
    </row>
    <row r="71" spans="1:13" x14ac:dyDescent="0.25" ht="112.0" customHeight="1">
      <c r="A71" s="17" t="s">
        <v>448</v>
      </c>
      <c r="B71" s="18" t="inlineStr">
        <is>
          <t xml:space="preserve">Kısmen</t>
        </is>
      </c>
      <c r="C71" s="19" t="inlineStr">
        <is>
          <t xml:space="preserve">Ana sanity</t>
        </is>
      </c>
      <c r="D71" s="19" t="s">
        <v>449</v>
      </c>
      <c r="E71" s="20" t="s">
        <v>450</v>
      </c>
      <c r="F71"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71"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71" s="19" t="s">
        <v>864</v>
      </c>
      <c r="I71" s="19" t="inlineStr">
        <is>
          <t xml:space="preserve">Takip tablosu, Pasif Emirler, Emir Geçmişi ve ilgili işlem ekranı.</t>
        </is>
      </c>
      <c r="J71" s="18" t="s">
        <v>79</v>
      </c>
      <c r="K71" s="18" t="s">
        <v>88</v>
      </c>
      <c r="L71" s="20" t="inlineStr">
        <is>
          <t xml:space="preserve">Önceki gözlem: dosya ile ayar değişikliği yapılmış. Bekleyen: boyut/uzantı kontrolü ve hatalı dosyanın kayıtlar üzerindeki etkisi.</t>
        </is>
      </c>
      <c r="M71" s="21"/>
    </row>
    <row r="72" spans="1:13" x14ac:dyDescent="0.25" ht="138.0" customHeight="1">
      <c r="A72" s="17" t="s">
        <v>453</v>
      </c>
      <c r="B72" s="18" t="inlineStr">
        <is>
          <t xml:space="preserve">Kısmen</t>
        </is>
      </c>
      <c r="C72" s="19" t="inlineStr">
        <is>
          <t xml:space="preserve">Ana sanity</t>
        </is>
      </c>
      <c r="D72" s="19" t="s">
        <v>454</v>
      </c>
      <c r="E72" s="20" t="s">
        <v>455</v>
      </c>
      <c r="F72"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72" s="20" t="s">
        <v>457</v>
      </c>
      <c r="H72" s="19" t="s">
        <v>866</v>
      </c>
      <c r="I72" s="19" t="inlineStr">
        <is>
          <t xml:space="preserve">Takip tablosu, Pasif Emirler, Emir Geçmişi ve ilgili işlem ekranı.</t>
        </is>
      </c>
      <c r="J72" s="18" t="s">
        <v>79</v>
      </c>
      <c r="K72" s="18" t="s">
        <v>88</v>
      </c>
      <c r="L72" s="20" t="inlineStr">
        <is>
          <t xml:space="preserve">Önceki gözlem: strateji durmuşken paket işlemleri çalışmış. Bekleyen: silme onayı, pozisyon karşılaştırması ve çalışan stratejide işlem engeli.</t>
        </is>
      </c>
      <c r="M72" s="21"/>
    </row>
    <row r="73" spans="1:13" x14ac:dyDescent="0.25" ht="86.0" customHeight="1">
      <c r="A73" s="17" t="s">
        <v>459</v>
      </c>
      <c r="B73" s="18" t="s">
        <v>16</v>
      </c>
      <c r="C73" s="19" t="inlineStr">
        <is>
          <t xml:space="preserve">Ana sanity</t>
        </is>
      </c>
      <c r="D73" s="19" t="s">
        <v>460</v>
      </c>
      <c r="E73" s="20" t="s">
        <v>461</v>
      </c>
      <c r="F73" s="20" t="inlineStr">
        <is>
          <t xml:space="preserve">1. Pasif Emirler panelinde bekleyen spot emri bulun.
2. Ekranın sunduğu fiyat artırma/azaltma işlemini uygulayın; emir numarası ve yeni fiyatı kaydedin.
3. Karşı fiyata taşıma işlemini uygulayın.
4. Emrin yeni fiyatını ve gerçekleşip gerçekleşmediğini Emir Geçmişi ile karşılaştırın.</t>
        </is>
      </c>
      <c r="G73" s="20" t="inlineStr">
        <is>
          <t xml:space="preserve">Bekleyen spot emir panelde görünür. Fiyat değiştirme işlemi doğru emre uygulanır; emir durumu ve gerçekleşmeler ekrandan takip edilebilir.</t>
        </is>
      </c>
      <c r="H73" s="19"/>
      <c r="I73" s="19" t="inlineStr">
        <is>
          <t xml:space="preserve">Takip tablosu, Pasif Emirler, Emir Geçmişi ve ilgili işlem ekranı.</t>
        </is>
      </c>
      <c r="J73" s="18" t="s">
        <v>79</v>
      </c>
      <c r="K73" s="18" t="s">
        <v>88</v>
      </c>
      <c r="L73" s="20" t="inlineStr">
        <is>
          <t xml:space="preserve">Önceki Başarısız sonucu korunmuştur. Bu revizyonda yeniden denenmedi.</t>
        </is>
      </c>
      <c r="M73" s="21"/>
    </row>
    <row r="74" spans="1:13" ht="86.25" customHeight="1" x14ac:dyDescent="0.25">
      <c r="A74" s="17" t="s">
        <v>465</v>
      </c>
      <c r="B74" s="18" t="s">
        <v>490</v>
      </c>
      <c r="C74" s="19" t="inlineStr">
        <is>
          <t xml:space="preserve">Ana sanity</t>
        </is>
      </c>
      <c r="D74" s="19" t="inlineStr">
        <is>
          <t xml:space="preserve">Strateji kendiliğinden durduğunda kullanıcı bildirimi</t>
        </is>
      </c>
      <c r="E74" s="20" t="s">
        <v>467</v>
      </c>
      <c r="F74" s="20" t="s">
        <v>468</v>
      </c>
      <c r="G74" s="20" t="s">
        <v>469</v>
      </c>
      <c r="H74" s="19"/>
      <c r="I74" s="19" t="inlineStr">
        <is>
          <t xml:space="preserve">Takip tablosu, Pasif Emirler, Emir Geçmişi ve ilgili işlem ekranı.</t>
        </is>
      </c>
      <c r="J74" s="18" t="s">
        <v>79</v>
      </c>
      <c r="K74" s="18" t="s">
        <v>88</v>
      </c>
      <c r="L74" s="20"/>
      <c r="M74" s="21"/>
    </row>
    <row r="75" spans="1:13" ht="60.75" customHeight="1" x14ac:dyDescent="0.25">
      <c r="A75" s="17" t="s">
        <v>472</v>
      </c>
      <c r="B75" s="18" t="s">
        <v>490</v>
      </c>
      <c r="C75" s="19" t="inlineStr">
        <is>
          <t xml:space="preserve">Ana sanity</t>
        </is>
      </c>
      <c r="D75" s="19" t="s">
        <v>473</v>
      </c>
      <c r="E75" s="20" t="s">
        <v>474</v>
      </c>
      <c r="F75" s="20" t="s">
        <v>475</v>
      </c>
      <c r="G75" s="20" t="s">
        <v>476</v>
      </c>
      <c r="H75" s="19"/>
      <c r="I75" s="19" t="inlineStr">
        <is>
          <t xml:space="preserve">Takip tablosu, Pasif Emirler, Emir Geçmişi ve ilgili işlem ekranı.</t>
        </is>
      </c>
      <c r="J75" s="18" t="s">
        <v>79</v>
      </c>
      <c r="K75" s="18" t="s">
        <v>388</v>
      </c>
      <c r="L75" s="20"/>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COUNTA($A$11:$A$200)</f>
        <v>15</v>
      </c>
      <c r="I2" s="9" t="inlineStr">
        <is>
          <t xml:space="preserve">Test Edilmedi</t>
        </is>
      </c>
      <c r="J2" s="13">
        <f>COUNTIF($B$11:$B$200,"Test Edilmedi")</f>
        <v>15</v>
      </c>
      <c r="K2" s="9" t="inlineStr">
        <is>
          <t xml:space="preserve">Bloke</t>
        </is>
      </c>
      <c r="L2" s="13">
        <f>COUNTIF($B$11:$B$200,"Bloke")</f>
        <v>0</v>
      </c>
    </row>
    <row r="3" spans="1:13" ht="21.75" customHeight="1" x14ac:dyDescent="0.25">
      <c r="A3" s="6"/>
      <c r="B3" s="6"/>
      <c r="C3" s="9" t="s">
        <v>9</v>
      </c>
      <c r="D3" s="10" t="inlineStr">
        <is>
          <t xml:space="preserve">Ek kontroller ve tekrar testleri</t>
        </is>
      </c>
      <c r="E3" s="9" t="s">
        <v>11</v>
      </c>
      <c r="F3" s="11"/>
      <c r="G3" s="9" t="s">
        <v>12</v>
      </c>
      <c r="H3" s="13">
        <f>COUNTIF($B$11:$B$200,"Başarılı")</f>
        <v>0</v>
      </c>
      <c r="I3" s="9" t="inlineStr">
        <is>
          <t xml:space="preserve">Test Ediliyor</t>
        </is>
      </c>
      <c r="J3" s="13">
        <f>COUNTIF($B$11:$B$200,"Test Ediliyor")</f>
        <v>0</v>
      </c>
      <c r="K3" s="9" t="inlineStr">
        <is>
          <t xml:space="preserve">Sonuçsuz</t>
        </is>
      </c>
      <c r="L3" s="13">
        <f>COUNTBLANK($B$11:$B$25)</f>
        <v>0</v>
      </c>
    </row>
    <row r="4" spans="1:13" ht="21.75" customHeight="1" x14ac:dyDescent="0.25">
      <c r="A4" s="6"/>
      <c r="B4" s="6"/>
      <c r="C4" s="9" t="inlineStr">
        <is>
          <t xml:space="preserve">Doküman Sürümü:</t>
        </is>
      </c>
      <c r="D4" s="10" t="inlineStr">
        <is>
          <t xml:space="preserve">1.9</t>
        </is>
      </c>
      <c r="E4" s="9" t="s">
        <v>15</v>
      </c>
      <c r="F4" s="11"/>
      <c r="G4" s="9" t="s">
        <v>16</v>
      </c>
      <c r="H4" s="13">
        <f>COUNTIF($B$11:$B$200,"Başarısız")</f>
        <v>0</v>
      </c>
      <c r="I4" s="9" t="inlineStr">
        <is>
          <t xml:space="preserve">Kısmen</t>
        </is>
      </c>
      <c r="J4" s="13">
        <f>COUNTIF($B$11:$B$200,"Kısmen")</f>
        <v>0</v>
      </c>
    </row>
    <row r="6" spans="1:13" ht="42" customHeight="1" x14ac:dyDescent="0.25">
      <c r="A6" s="5" t="s">
        <v>480</v>
      </c>
      <c r="B6" s="5"/>
      <c r="C6" s="4" t="inlineStr">
        <is>
          <t xml:space="preserve">Bu sayfada toplu ayar kontrolü, ek işlevler ve tekrar testleri bulunur. Ana sanity işaretli satırı her genel koşuya dahil edin. Karar bekliyor satırlarında önce beklenen davranışı netleştirin; bu başlıklar kesin hata bildirimi değildir.</t>
        </is>
      </c>
      <c r="D6" s="4"/>
      <c r="E6" s="4"/>
      <c r="F6" s="4"/>
      <c r="G6" s="4"/>
      <c r="H6" s="4"/>
    </row>
    <row r="7" spans="1:13" ht="30" customHeight="1" x14ac:dyDescent="0.25">
      <c r="A7" s="5" t="inlineStr">
        <is>
          <t xml:space="preserve">Test seçimi:</t>
        </is>
      </c>
      <c r="B7" s="5"/>
      <c r="C7" s="4" t="inlineStr">
        <is>
          <t xml:space="preserve">5 ön koşuldan sonra iki test sayfasında Ana sanity filtresini kullanın: 37 kontrol. Diğer kapsamlar: 30 genişletilmiş, 5 karar bekliyor.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34.0" customHeight="1">
      <c r="A10" s="16" t="s">
        <v>36</v>
      </c>
      <c r="B10" s="16" t="s">
        <v>37</v>
      </c>
      <c r="C10" s="16" t="inlineStr">
        <is>
          <t xml:space="preserve">Test Kapsamı</t>
        </is>
      </c>
      <c r="D10" s="16" t="s">
        <v>486</v>
      </c>
      <c r="E10" s="16" t="inlineStr">
        <is>
          <t xml:space="preserve">Ön Koşullar</t>
        </is>
      </c>
      <c r="F10" s="16" t="s">
        <v>41</v>
      </c>
      <c r="G10" s="16" t="s">
        <v>42</v>
      </c>
      <c r="H10" s="16" t="s">
        <v>43</v>
      </c>
      <c r="I10" s="16" t="inlineStr">
        <is>
          <t xml:space="preserve">Kontrol Edilecek Ekran</t>
        </is>
      </c>
      <c r="J10" s="16" t="s">
        <v>45</v>
      </c>
      <c r="K10" s="16" t="s">
        <v>46</v>
      </c>
      <c r="L10" s="16" t="inlineStr">
        <is>
          <t xml:space="preserve">Not / Test Kaydı</t>
        </is>
      </c>
      <c r="M10" s="16" t="s">
        <v>48</v>
      </c>
    </row>
    <row r="11" spans="1:13" ht="138" customHeight="1" x14ac:dyDescent="0.25">
      <c r="A11" s="17" t="inlineStr">
        <is>
          <t xml:space="preserve">TC-ARB-R01</t>
        </is>
      </c>
      <c r="B11" s="18" t="inlineStr">
        <is>
          <t xml:space="preserve">Test Edilmedi</t>
        </is>
      </c>
      <c r="C11" s="19" t="inlineStr">
        <is>
          <t xml:space="preserve">Karar bekliyor</t>
        </is>
      </c>
      <c r="D11" s="19" t="inlineStr">
        <is>
          <t xml:space="preserve">Otomatik yön seçimi</t>
        </is>
      </c>
      <c r="E11" s="20" t="inlineStr">
        <is>
          <t xml:space="preserve">Otomatik seçimde hangi fiyat koşulunda hangi yönde işlem beklendiği netleştirilmiş; Spread test çifti hazır.</t>
        </is>
      </c>
      <c r="F11" s="20" t="inlineStr">
        <is>
          <t xml:space="preserve">1. Otomatik tarafı seçin; açılış ve kapanış kademelerine sıfırdan farklı değerler girin.
2. Kontrat/Paket limitini 1 yapın.
3. İki farklı fiyat yönünde oluşan emir yönünü ve fiyatını kaydedin.</t>
        </is>
      </c>
      <c r="G11" s="20" t="inlineStr">
        <is>
          <t xml:space="preserve">Emir yönü ve fiyatı kararlaştırılmış otomatik seçim kurallarına uyar.</t>
        </is>
      </c>
      <c r="H11" s="19"/>
      <c r="I11" s="19" t="inlineStr">
        <is>
          <t xml:space="preserve">İlgili ayar ekranı, emir listesi, paket ve pozisyon ekranları.</t>
        </is>
      </c>
      <c r="J11" s="18" t="inlineStr">
        <is>
          <t xml:space="preserve">Test</t>
        </is>
      </c>
      <c r="K11" s="18" t="inlineStr">
        <is>
          <t xml:space="preserve">Yüksek</t>
        </is>
      </c>
      <c r="L11" s="20" t="inlineStr">
        <is>
          <t xml:space="preserve">Otomatik seçimin yön ve kademe uygulaması tutarsız görünüyor. Doğru çalıştığı varsayılmaz; C03 ile birlikte değerlendirilir.</t>
        </is>
      </c>
      <c r="M11" s="21"/>
    </row>
    <row r="12" spans="1:13" ht="111.75" customHeight="1" x14ac:dyDescent="0.25">
      <c r="A12" s="17" t="inlineStr">
        <is>
          <t xml:space="preserve">TC-ARB-R02</t>
        </is>
      </c>
      <c r="B12" s="18" t="inlineStr">
        <is>
          <t xml:space="preserve">Test Edilmedi</t>
        </is>
      </c>
      <c r="C12" s="19" t="inlineStr">
        <is>
          <t xml:space="preserve">Genişletilmiş</t>
        </is>
      </c>
      <c r="D12" s="19" t="inlineStr">
        <is>
          <t xml:space="preserve">Başlangıç saatinden önce emir gönderilmemesi</t>
        </is>
      </c>
      <c r="E12" s="20" t="inlineStr">
        <is>
          <t xml:space="preserve">Test seansı açık; başlangıç saati birkaç dakika sonrası, bitiş daha ileride; açılış koşulu hazırlanmış.</t>
        </is>
      </c>
      <c r="F12" s="20" t="inlineStr">
        <is>
          <t xml:space="preserve">1. Başlangıç saatini ve ekran saatini kaydedin.
2. Stratejiyi başlangıçtan önce başlatın; emirleri izleyin.
3. Başlangıç sonrasındaki davranışı kontrol edin.
4. Faiz ve Çift Vade türlerinde ayrı deneyin.</t>
        </is>
      </c>
      <c r="G12" s="20" t="inlineStr">
        <is>
          <t xml:space="preserve">Belirlenen başlangıçtan önce emir gönderilmez. Başlangıç sonrası diğer koşullar uygunsa işlem yapılır.</t>
        </is>
      </c>
      <c r="H12" s="19"/>
      <c r="I12" s="19" t="inlineStr">
        <is>
          <t xml:space="preserve">İlgili ayar ekranı, emir listesi, paket ve pozisyon ekranları.</t>
        </is>
      </c>
      <c r="J12" s="18" t="inlineStr">
        <is>
          <t xml:space="preserve">Test</t>
        </is>
      </c>
      <c r="K12" s="18" t="inlineStr">
        <is>
          <t xml:space="preserve">Yüksek</t>
        </is>
      </c>
      <c r="L12" s="20" t="inlineStr">
        <is>
          <t xml:space="preserve">Ekrandaki başlangıç saati ile ilk emir zamanını karşılaştırın. Başlangıç kontrolünde saat kayması şüphesi vardır; bitişte durma ve bekleyen emirler R03 ile kontrol edilir.</t>
        </is>
      </c>
      <c r="M12" s="21"/>
    </row>
    <row r="13" spans="1:13" ht="111.75" customHeight="1" x14ac:dyDescent="0.25">
      <c r="A13" s="17" t="inlineStr">
        <is>
          <t xml:space="preserve">TC-ARB-R03</t>
        </is>
      </c>
      <c r="B13" s="18" t="inlineStr">
        <is>
          <t xml:space="preserve">Test Edilmedi</t>
        </is>
      </c>
      <c r="C13" s="19" t="inlineStr">
        <is>
          <t xml:space="preserve">Genişletilmiş</t>
        </is>
      </c>
      <c r="D13" s="19" t="inlineStr">
        <is>
          <t xml:space="preserve">Durdurma sırasında bekleyen spot emir</t>
        </is>
      </c>
      <c r="E13" s="20" t="inlineStr">
        <is>
          <t xml:space="preserve">Vadeli bacak gerçekleşmiş, dayanak emri bekliyor. İki bacağın emir numaraları ve paket durumu kaydedilmiş.</t>
        </is>
      </c>
      <c r="F13" s="20" t="inlineStr">
        <is>
          <t xml:space="preserve">1. Durdur komutunu verin.
2. İki bacağın bekleyen emirlerinde iptal sonucunu kontrol edin.
3. İptal öncesi gerçekleşme varsa paket ve pozisyonla karşılaştırın.
4. Aynı kontrolü bitiş saatinde ayrı test koşusunda uygulayın.</t>
        </is>
      </c>
      <c r="G13" s="20" t="inlineStr">
        <is>
          <t xml:space="preserve">Stratejiye ait iki bacaktaki bekleyen emirler iptal edilir; yeni emir gönderilmez. Durdurma bildirimi tek başına iptal kanıtı değildir; iptal sonuçları emir ekranından doğrulanır.</t>
        </is>
      </c>
      <c r="H13" s="19"/>
      <c r="I13" s="19" t="inlineStr">
        <is>
          <t xml:space="preserve">İlgili ayar ekranı, emir listesi, paket ve pozisyon ekranları.</t>
        </is>
      </c>
      <c r="J13" s="18" t="inlineStr">
        <is>
          <t xml:space="preserve">Test</t>
        </is>
      </c>
      <c r="K13" s="18" t="inlineStr">
        <is>
          <t xml:space="preserve">Yüksek</t>
        </is>
      </c>
      <c r="L13" s="20" t="inlineStr">
        <is>
          <t xml:space="preserve">Durdurmada bütün bekleyen emirlerin iptali beklenir. Dayanak emrinin açık kalması ve sonradan gerçekleşmesi ayrıca kaydedilir.</t>
        </is>
      </c>
      <c r="M13" s="21"/>
    </row>
    <row r="14" spans="1:13" ht="111.75" customHeight="1" x14ac:dyDescent="0.25">
      <c r="A14" s="17" t="inlineStr">
        <is>
          <t xml:space="preserve">TC-ARB-R04</t>
        </is>
      </c>
      <c r="B14" s="18" t="inlineStr">
        <is>
          <t xml:space="preserve">Test Edilmedi</t>
        </is>
      </c>
      <c r="C14" s="19" t="inlineStr">
        <is>
          <t xml:space="preserve">Genişletilmiş</t>
        </is>
      </c>
      <c r="D14" s="19" t="inlineStr">
        <is>
          <t xml:space="preserve">Çift Vade için ikinci bacak miktarı</t>
        </is>
      </c>
      <c r="E14" s="20" t="inlineStr">
        <is>
          <t xml:space="preserve">İki farklı vade seçilmiş yeni strateji; ilk bacak 1 kontrat. Her deneme için emir ve paket durumu kaydedilir.</t>
        </is>
      </c>
      <c r="F14" s="20" t="inlineStr">
        <is>
          <t xml:space="preserve">1. Spot Çarpan varsayılanının 1 olduğunu kontrol edin.
2. Opsiyonel Ayarlar kapalı ve açıkken ayrı denemelerde ikinci bacak miktarını kontrol edin.
3. Yeni denemede opsiyonel ayarı açıp çarpanı 2 yapın; kaydedip tekrar açın ve emir miktarını kontrol edin.
4. İki Çift Vade türünde tekrarlayın.</t>
        </is>
      </c>
      <c r="G14" s="20" t="inlineStr">
        <is>
          <t xml:space="preserve">Varsayılan 1 ile ilk bacakta 1 kontrata karşı ikinci bacak 1 kontrattır. Kullanıcı çarpanı değiştirebilir; opsiyonel ayar açıkken 2 seçilirse ikinci bacak 2 kontrattır. Kaydedilen değer korunur.</t>
        </is>
      </c>
      <c r="H14" s="19"/>
      <c r="I14" s="19" t="inlineStr">
        <is>
          <t xml:space="preserve">İlgili ayar ekranı, emir listesi, paket ve pozisyon ekranları.</t>
        </is>
      </c>
      <c r="J14" s="18" t="inlineStr">
        <is>
          <t xml:space="preserve">Test</t>
        </is>
      </c>
      <c r="K14" s="18" t="inlineStr">
        <is>
          <t xml:space="preserve">Yüksek</t>
        </is>
      </c>
      <c r="L14" s="20" t="inlineStr">
        <is>
          <t xml:space="preserve">Çift Vade ve Çift Vade Faiz için varsayılan 1; kullanıcı seçimiyle farklı pozitif çarpan kullanılabilir.</t>
        </is>
      </c>
      <c r="M14" s="21"/>
    </row>
    <row r="15" spans="1:13" ht="124.5" customHeight="1" x14ac:dyDescent="0.25">
      <c r="A15" s="17" t="inlineStr">
        <is>
          <t xml:space="preserve">TC-ARB-R05</t>
        </is>
      </c>
      <c r="B15" s="18" t="inlineStr">
        <is>
          <t xml:space="preserve">Test Edilmedi</t>
        </is>
      </c>
      <c r="C15" s="19" t="inlineStr">
        <is>
          <t xml:space="preserve">Genişletilmiş</t>
        </is>
      </c>
      <c r="D15" s="19" t="inlineStr">
        <is>
          <t xml:space="preserve">Tatil döneminde gün ve teorik fiyat hesabı</t>
        </is>
      </c>
      <c r="E15" s="20" t="inlineStr">
        <is>
          <t xml:space="preserve">Tatil içeren tarih aralığı; kullanılacak takvim ve beklenen hesap sonucu test sorumlusunca hazırlanmış.</t>
        </is>
      </c>
      <c r="F15" s="20" t="inlineStr">
        <is>
          <t xml:space="preserve">1. Vade tarihini, V.K.G. ve teorik fiyatı kaydedin.
2. Tatil/takas günlerini içeren beklenen hesapla karşılaştırın.
3. Fark varsa kullanılan tarihleri ve fiyatları yazın.</t>
        </is>
      </c>
      <c r="G15" s="20" t="inlineStr">
        <is>
          <t xml:space="preserve">Gösterilen süre ve teorik fiyat, aynı tarih ve fiyatlarla hazırlanan beklenen hesapla tutarlıdır.</t>
        </is>
      </c>
      <c r="H15" s="19"/>
      <c r="I15" s="19" t="inlineStr">
        <is>
          <t xml:space="preserve">İlgili ayar ekranı, emir listesi, paket ve pozisyon ekranları.</t>
        </is>
      </c>
      <c r="J15" s="18" t="inlineStr">
        <is>
          <t xml:space="preserve">Prod</t>
        </is>
      </c>
      <c r="K15" s="18" t="inlineStr">
        <is>
          <t xml:space="preserve">Yüksek</t>
        </is>
      </c>
      <c r="L15" s="20" t="inlineStr">
        <is>
          <t xml:space="preserve">Beklenen hesap hazırlanmadıysa Bloke seçin.</t>
        </is>
      </c>
      <c r="M15" s="21"/>
    </row>
    <row r="16" spans="1:13" ht="138" customHeight="1" x14ac:dyDescent="0.25">
      <c r="A16" s="17" t="inlineStr">
        <is>
          <t xml:space="preserve">TC-ARB-R06</t>
        </is>
      </c>
      <c r="B16" s="18" t="inlineStr">
        <is>
          <t xml:space="preserve">Test Edilmedi</t>
        </is>
      </c>
      <c r="C16" s="19" t="inlineStr">
        <is>
          <t xml:space="preserve">Ana sanity</t>
        </is>
      </c>
      <c r="D16" s="19" t="inlineStr">
        <is>
          <t xml:space="preserve">Toplu ayar kaydetme ve diğer alanları koruma</t>
        </is>
      </c>
      <c r="E16" s="20" t="inlineStr">
        <is>
          <t xml:space="preserve">İki test çifti seçilmiş; başlangıç ayarları not edilmiş.</t>
        </is>
      </c>
      <c r="F16" s="20" t="inlineStr">
        <is>
          <t xml:space="preserve">1. İki çiftin Paket Limitini tek tek 5 yapın.
2. Toplu ayarda yalnız Paket Limitini 0 yapıp diğer alanları koruyarak kaydedin.
3. Her çiftin ayarını yeniden açın ve sayfayı yenileyin.
4. Değişen alanı ve değiştirilmemesi gereken alanları karşılaştırın.
5. Başlangıç ayarlarını geri yükleyin.</t>
        </is>
      </c>
      <c r="G16" s="20" t="inlineStr">
        <is>
          <t xml:space="preserve">İki çiftte Paket Limiti 0 olarak korunur; dokunulmayan ayarlar değişmez. Başarısız kayıt varsa kullanıcıya bildirilir.</t>
        </is>
      </c>
      <c r="H16" s="19"/>
      <c r="I16" s="19" t="inlineStr">
        <is>
          <t xml:space="preserve">İlgili ayar ekranı, emir listesi, paket ve pozisyon ekranları.</t>
        </is>
      </c>
      <c r="J16" s="18" t="inlineStr">
        <is>
          <t xml:space="preserve">Test</t>
        </is>
      </c>
      <c r="K16" s="18" t="inlineStr">
        <is>
          <t xml:space="preserve">Yüksek</t>
        </is>
      </c>
      <c r="L16" s="20" t="inlineStr">
        <is>
          <t xml:space="preserve">Bu kontrol sırasında stratejiler durmuş olmalıdır.</t>
        </is>
      </c>
      <c r="M16" s="21"/>
    </row>
    <row r="17" spans="1:13" ht="99" customHeight="1" x14ac:dyDescent="0.25">
      <c r="A17" s="17" t="inlineStr">
        <is>
          <t xml:space="preserve">TC-ARB-R07</t>
        </is>
      </c>
      <c r="B17" s="18" t="inlineStr">
        <is>
          <t xml:space="preserve">Test Edilmedi</t>
        </is>
      </c>
      <c r="C17" s="19" t="inlineStr">
        <is>
          <t xml:space="preserve">Karar bekliyor</t>
        </is>
      </c>
      <c r="D17" s="19" t="inlineStr">
        <is>
          <t xml:space="preserve">Temettü değerinin birimi</t>
        </is>
      </c>
      <c r="E17" s="20" t="inlineStr">
        <is>
          <t xml:space="preserve">Temettü tutarı ve kullanılacak birim için doğrulanmış hesap örneği hazırlanmış test ortamı.</t>
        </is>
      </c>
      <c r="F17" s="20" t="inlineStr">
        <is>
          <t xml:space="preserve">1. Temettü 0 iken fiyatı kaydedin.
2. Temettüye 1 girip kaydedin; ayarı yeniden açın.
3. Emir fiyatı ve hesaplanan değeri beklenen etkiyle karşılaştırın.</t>
        </is>
      </c>
      <c r="G17" s="20" t="inlineStr">
        <is>
          <t xml:space="preserve">Girilen temettü, belirlenmiş birimle uygulanır; ayar ve gösterilen fiyatlar tutarlıdır.</t>
        </is>
      </c>
      <c r="H17" s="19"/>
      <c r="I17" s="19" t="inlineStr">
        <is>
          <t xml:space="preserve">İlgili ayar ekranı, emir listesi, paket ve pozisyon ekranları.</t>
        </is>
      </c>
      <c r="J17" s="18" t="inlineStr">
        <is>
          <t xml:space="preserve">Test</t>
        </is>
      </c>
      <c r="K17" s="18" t="inlineStr">
        <is>
          <t xml:space="preserve">Orta</t>
        </is>
      </c>
      <c r="L17" s="20" t="inlineStr">
        <is>
          <t xml:space="preserve">Temettünün emir fiyatı ve yön hesabına etkisi arasında 100 kat fark şüphesi var. Birim tutarlı hale gelmeden 2,50 veya 250 girişinden birini doğru kabul etmeyin.</t>
        </is>
      </c>
      <c r="M17" s="21"/>
    </row>
    <row r="18" spans="1:13" ht="111.75" customHeight="1" x14ac:dyDescent="0.25">
      <c r="A18" s="17" t="inlineStr">
        <is>
          <t xml:space="preserve">TC-ARB-R08</t>
        </is>
      </c>
      <c r="B18" s="18" t="inlineStr">
        <is>
          <t xml:space="preserve">Test Edilmedi</t>
        </is>
      </c>
      <c r="C18" s="19" t="inlineStr">
        <is>
          <t xml:space="preserve">Genişletilmiş</t>
        </is>
      </c>
      <c r="D18" s="19" t="inlineStr">
        <is>
          <t xml:space="preserve">İlk eklemede dayanak seçimi ve ayar kilidi</t>
        </is>
      </c>
      <c r="E18" s="20" t="inlineStr">
        <is>
          <t xml:space="preserve">Yeni bir strateji kimliği; seçilecek farklı dayanak/vadeli çifti ve test hesabı hazır.</t>
        </is>
      </c>
      <c r="F18" s="20" t="inlineStr">
        <is>
          <t xml:space="preserve">1. Çift ekleme ekranında farklı dayanak/vadeli seçip ekleyin.
2. Ayarları açın; dayanak seçiminin değiştirilemediğini kontrol edin.
3. Test koşulunda ikinci bacak emrinin seçilen dayanağa gittiğini kontrol edin.</t>
        </is>
      </c>
      <c r="G18" s="20" t="inlineStr">
        <is>
          <t xml:space="preserve">Çift seçilen dayanakla oluşturulur; ayarlarda dayanak alanı pasiftir ve değiştirilemez. İkinci bacak emri seçilen dayanağa gider.</t>
        </is>
      </c>
      <c r="H18" s="19"/>
      <c r="I18" s="19" t="inlineStr">
        <is>
          <t xml:space="preserve">İlgili ayar ekranı, emir listesi, paket ve pozisyon ekranları.</t>
        </is>
      </c>
      <c r="J18" s="18" t="inlineStr">
        <is>
          <t xml:space="preserve">Test</t>
        </is>
      </c>
      <c r="K18" s="18" t="inlineStr">
        <is>
          <t xml:space="preserve">Orta</t>
        </is>
      </c>
      <c r="L18" s="20" t="inlineStr">
        <is>
          <t xml:space="preserve">Aynı mevcut stratejiyi yeniden eklemek yerine yeni strateji kimliği kullanın.</t>
        </is>
      </c>
      <c r="M18" s="21"/>
    </row>
    <row r="19" spans="1:13" x14ac:dyDescent="0.25" ht="99.0" customHeight="1">
      <c r="A19" s="17" t="inlineStr">
        <is>
          <t xml:space="preserve">TC-ARB-R10</t>
        </is>
      </c>
      <c r="B19" s="18" t="inlineStr">
        <is>
          <t xml:space="preserve">Test Edilmedi</t>
        </is>
      </c>
      <c r="C19" s="19" t="inlineStr">
        <is>
          <t xml:space="preserve">Genişletilmiş</t>
        </is>
      </c>
      <c r="D19" s="19" t="inlineStr">
        <is>
          <t xml:space="preserve">Limit kaydı ve saat sırası kontrolü</t>
        </is>
      </c>
      <c r="E19" s="20" t="inlineStr">
        <is>
          <t xml:space="preserve">Durdurulmuş test stratejisi; geçerli ayarlar kaydedilmiş. Her giriş ayrı denenir.</t>
        </is>
      </c>
      <c r="F19" s="20" t="inlineStr">
        <is>
          <t xml:space="preserve">1. Başlangıcı bitişten sonraya ayarlayıp kaydetmeyi deneyin.
2. Geçerli saatlerle limitleri 0 yapıp kaydedin.
3. Limit alanını boş bırakıp kaydedin.
4. Negatif kabul etmeyen alana negatif değer girin.
5. Her denemede ayarları yeniden açıp değerleri kontrol edin.</t>
        </is>
      </c>
      <c r="G19" s="20" t="inlineStr">
        <is>
          <t xml:space="preserve">Başlangıç bitişten sonraysa kayıt engellenir. Limitlerin boş veya 0 olması kaydı engellemez. Negatif kabul etmeyen alan reddedilir; geçersiz giriş önceki geçerli ayarı değiştirmez.</t>
        </is>
      </c>
      <c r="H19" s="19"/>
      <c r="I19" s="19" t="inlineStr">
        <is>
          <t xml:space="preserve">İlgili ayar ekranı, emir listesi, paket ve pozisyon ekranları.</t>
        </is>
      </c>
      <c r="J19" s="18" t="inlineStr">
        <is>
          <t xml:space="preserve">Test</t>
        </is>
      </c>
      <c r="K19" s="18" t="inlineStr">
        <is>
          <t xml:space="preserve">Orta</t>
        </is>
      </c>
      <c r="L19" s="20" t="inlineStr">
        <is>
          <t xml:space="preserve">Kontrat Limiti 0 yeni açılışı engeller. Paket Limiti 0 ek paket miktarı sınırını kaldırır; stratejiyi durdurmaz.</t>
        </is>
      </c>
      <c r="M19" s="21"/>
    </row>
    <row r="20" spans="1:13" x14ac:dyDescent="0.25" ht="99.0" customHeight="1">
      <c r="A20" s="17" t="inlineStr">
        <is>
          <t xml:space="preserve">TC-ARB-R11</t>
        </is>
      </c>
      <c r="B20" s="18" t="inlineStr">
        <is>
          <t xml:space="preserve">Test Edilmedi</t>
        </is>
      </c>
      <c r="C20" s="19" t="inlineStr">
        <is>
          <t xml:space="preserve">Genişletilmiş</t>
        </is>
      </c>
      <c r="D20" s="19" t="inlineStr">
        <is>
          <t xml:space="preserve">Kullanılamayan kanalda kullanıcı bildirimi</t>
        </is>
      </c>
      <c r="E20" s="20" t="inlineStr">
        <is>
          <t xml:space="preserve">Test sorumlusunca kullanılamayan kanal için hazırlanmış test hesabı.</t>
        </is>
      </c>
      <c r="F20" s="20" t="inlineStr">
        <is>
          <t xml:space="preserve">1. Hazırlanmış hesapta ilgili kanalı seçmeyi deneyin.
2. Seçim yapılabiliyorsa test işlemindeki sonucu izleyin.
3. Uyarıyı ve emir durumunu kaydedin.</t>
        </is>
      </c>
      <c r="G20" s="20" t="inlineStr">
        <is>
          <t xml:space="preserve">Kullanılamayan kanal seçilemez veya işlem yapılamadığı açıkça bildirilir. Gönderilmemiş emir başarılı gösterilmez.</t>
        </is>
      </c>
      <c r="H20" s="19"/>
      <c r="I20" s="19" t="inlineStr">
        <is>
          <t xml:space="preserve">İlgili ayar ekranı, emir listesi, paket ve pozisyon ekranları.</t>
        </is>
      </c>
      <c r="J20" s="18" t="inlineStr">
        <is>
          <t xml:space="preserve">Test</t>
        </is>
      </c>
      <c r="K20" s="18" t="inlineStr">
        <is>
          <t xml:space="preserve">Orta</t>
        </is>
      </c>
      <c r="L20" s="20" t="inlineStr">
        <is>
          <t xml:space="preserve">Kanal hazırlığı testçinin görevi değildir; hazır koşul yoksa Bloke seçin.</t>
        </is>
      </c>
      <c r="M20" s="21"/>
    </row>
    <row r="21" spans="1:13" ht="111.75" customHeight="1" x14ac:dyDescent="0.25">
      <c r="A21" s="17" t="inlineStr">
        <is>
          <t xml:space="preserve">TC-ARB-R14</t>
        </is>
      </c>
      <c r="B21" s="18" t="inlineStr">
        <is>
          <t xml:space="preserve">Test Edilmedi</t>
        </is>
      </c>
      <c r="C21" s="19" t="inlineStr">
        <is>
          <t xml:space="preserve">Genişletilmiş</t>
        </is>
      </c>
      <c r="D21" s="19" t="inlineStr">
        <is>
          <t xml:space="preserve">Emir bağlantısı yokken kullanıcı bildirimi</t>
        </is>
      </c>
      <c r="E21" s="20" t="inlineStr">
        <is>
          <t xml:space="preserve">Test sorumlusunca emir gönderilemeyen durum hazırlanmış.</t>
        </is>
      </c>
      <c r="F21" s="20" t="inlineStr">
        <is>
          <t xml:space="preserve">1. Arbitraj ekranını açın.
2. Hazırlanmış çiftte işlem başlatmayı deneyin.
3. Bağlantı/işlem uyarısını ve emir listesini kontrol edin.</t>
        </is>
      </c>
      <c r="G21" s="20" t="inlineStr">
        <is>
          <t xml:space="preserve">İşlem yapılamadığı kullanıcıya anlaşılır biçimde bildirilir; gönderilmeyen emir başarılı gösterilmez.</t>
        </is>
      </c>
      <c r="H21" s="19"/>
      <c r="I21" s="19" t="inlineStr">
        <is>
          <t xml:space="preserve">İlgili ayar ekranı, emir listesi, paket ve pozisyon ekranları.</t>
        </is>
      </c>
      <c r="J21" s="18" t="inlineStr">
        <is>
          <t xml:space="preserve">Test</t>
        </is>
      </c>
      <c r="K21" s="18" t="inlineStr">
        <is>
          <t xml:space="preserve">Yüksek</t>
        </is>
      </c>
      <c r="L21" s="20" t="inlineStr">
        <is>
          <t xml:space="preserve">Testçi bağlantı ayarlarını değiştirmez; koşul hazır değilse Bloke seçer.</t>
        </is>
      </c>
      <c r="M21" s="21"/>
    </row>
    <row r="22" spans="1:13" x14ac:dyDescent="0.25" ht="112.0" customHeight="1">
      <c r="A22" s="17" t="inlineStr">
        <is>
          <t xml:space="preserve">TC-ARB-R15</t>
        </is>
      </c>
      <c r="B22" s="18" t="inlineStr">
        <is>
          <t xml:space="preserve">Test Edilmedi</t>
        </is>
      </c>
      <c r="C22" s="19" t="inlineStr">
        <is>
          <t xml:space="preserve">Genişletilmiş</t>
        </is>
      </c>
      <c r="D22" s="19" t="inlineStr">
        <is>
          <t xml:space="preserve">Bağlantı kesintisi sonrası pozisyon tutarlılığı</t>
        </is>
      </c>
      <c r="E22" s="20" t="inlineStr">
        <is>
          <t xml:space="preserve">Test sorumlusu kontrollü kesintili koşulu hazırlamış; başlangıç emir ve pozisyonları kaydedilmiş.</t>
        </is>
      </c>
      <c r="F22" s="20" t="inlineStr">
        <is>
          <t xml:space="preserve">1. Kesinti sırasında oluşan işlem sonucunu ve bildirimi kaydedin.
2. Bağlantı geri geldiğinde emir geçmişini inceleyin.
3. Gerçekleşen emir miktarlarını paket ve pozisyonlarla karşılaştırın.</t>
        </is>
      </c>
      <c r="G22" s="20" t="inlineStr">
        <is>
          <t xml:space="preserve">Gerçekleşmeyen emir pozisyona eklenmez; gerçekleşen miktarlar paket ve pozisyonlarla tutarlıdır.</t>
        </is>
      </c>
      <c r="H22" s="19"/>
      <c r="I22" s="19" t="inlineStr">
        <is>
          <t xml:space="preserve">İlgili ayar ekranı, emir listesi, paket ve pozisyon ekranları.</t>
        </is>
      </c>
      <c r="J22" s="18" t="inlineStr">
        <is>
          <t xml:space="preserve">Test</t>
        </is>
      </c>
      <c r="K22" s="18" t="inlineStr">
        <is>
          <t xml:space="preserve">Orta</t>
        </is>
      </c>
      <c r="L22" s="20" t="inlineStr">
        <is>
          <t xml:space="preserve">Kesinti hazırlığı testçinin görevi değildir.</t>
        </is>
      </c>
      <c r="M22" s="21"/>
    </row>
    <row r="23" spans="1:13" ht="86.25" customHeight="1" x14ac:dyDescent="0.25">
      <c r="A23" s="17" t="inlineStr">
        <is>
          <t xml:space="preserve">TC-ARB-R16</t>
        </is>
      </c>
      <c r="B23" s="18" t="inlineStr">
        <is>
          <t xml:space="preserve">Test Edilmedi</t>
        </is>
      </c>
      <c r="C23" s="19" t="inlineStr">
        <is>
          <t xml:space="preserve">Genişletilmiş</t>
        </is>
      </c>
      <c r="D23" s="19" t="inlineStr">
        <is>
          <t xml:space="preserve">İptal edilen emrin ekranda izlenmesi</t>
        </is>
      </c>
      <c r="E23" s="20" t="inlineStr">
        <is>
          <t xml:space="preserve">Bekleyen test emri var; emir numarası kaydedilmiş.</t>
        </is>
      </c>
      <c r="F23" s="20" t="inlineStr">
        <is>
          <t xml:space="preserve">1. Bekleyen emri iptal edin.
2. Pasif Emirler panelini ve Emir Geçmişini kontrol edin.
3. Emir numarası, iptal durumu ve varsa gerçekleşen miktarı karşılaştırın.</t>
        </is>
      </c>
      <c r="G23" s="20" t="inlineStr">
        <is>
          <t xml:space="preserve">İptal sonucu doğru emirde görünür; kalan miktar açık emir olarak beklemez. Önceden gerçekleşmiş miktar kaybolmaz.</t>
        </is>
      </c>
      <c r="H23" s="19"/>
      <c r="I23" s="19" t="inlineStr">
        <is>
          <t xml:space="preserve">İlgili ayar ekranı, emir listesi, paket ve pozisyon ekranları.</t>
        </is>
      </c>
      <c r="J23" s="18" t="inlineStr">
        <is>
          <t xml:space="preserve">Test</t>
        </is>
      </c>
      <c r="K23" s="18" t="inlineStr">
        <is>
          <t xml:space="preserve">Az</t>
        </is>
      </c>
      <c r="L23" s="20" t="inlineStr">
        <is>
          <t xml:space="preserve">İptal isteği ile iptalin tamamlanması ayrı gözlenir.</t>
        </is>
      </c>
      <c r="M23" s="21"/>
    </row>
    <row r="24" spans="1:13" ht="99" customHeight="1" x14ac:dyDescent="0.25">
      <c r="A24" s="17" t="inlineStr">
        <is>
          <t xml:space="preserve">TC-ARB-R17</t>
        </is>
      </c>
      <c r="B24" s="18" t="inlineStr">
        <is>
          <t xml:space="preserve">Test Edilmedi</t>
        </is>
      </c>
      <c r="C24" s="19" t="inlineStr">
        <is>
          <t xml:space="preserve">Karar bekliyor</t>
        </is>
      </c>
      <c r="D24" s="19" t="inlineStr">
        <is>
          <t xml:space="preserve">Uygulama yeniden açılınca emir ve pozisyonlar</t>
        </is>
      </c>
      <c r="E24" s="20" t="inlineStr">
        <is>
          <t xml:space="preserve">Yeniden açılış koşulu test sorumlusunca hazırlanmış; bekleyen emirlere uygulanacak kural belirlenmiş.</t>
        </is>
      </c>
      <c r="F24" s="20" t="inlineStr">
        <is>
          <t xml:space="preserve">1. Önce emir, paket ve pozisyonları kaydedin.
2. Yeniden açılış sonrası aynı hesabı ve çifti açın.
3. Emirleri, paketleri ve pozisyonları önceki kayıt ve gerçekleşmelerle karşılaştırın.</t>
        </is>
      </c>
      <c r="G24" s="20" t="inlineStr">
        <is>
          <t xml:space="preserve">Emirler kararlaştırılmış kurala göre ele alınır; paket ve pozisyonlar gerçek gerçekleşmelerle tutarlı görünür.</t>
        </is>
      </c>
      <c r="H24" s="19"/>
      <c r="I24" s="19" t="inlineStr">
        <is>
          <t xml:space="preserve">İlgili ayar ekranı, emir listesi, paket ve pozisyon ekranları.</t>
        </is>
      </c>
      <c r="J24" s="18" t="inlineStr">
        <is>
          <t xml:space="preserve">Test</t>
        </is>
      </c>
      <c r="K24" s="18" t="inlineStr">
        <is>
          <t xml:space="preserve">Az</t>
        </is>
      </c>
      <c r="L24" s="20" t="inlineStr">
        <is>
          <t xml:space="preserve">Sayfa yenileme ile bu özel yeniden açılış kontrolünü aynı saymayın.</t>
        </is>
      </c>
      <c r="M24" s="21"/>
    </row>
    <row r="25" spans="1:13" ht="86.25" customHeight="1" x14ac:dyDescent="0.25">
      <c r="A25" s="17" t="inlineStr">
        <is>
          <t xml:space="preserve">TC-ARB-R19</t>
        </is>
      </c>
      <c r="B25" s="18" t="inlineStr">
        <is>
          <t xml:space="preserve">Test Edilmedi</t>
        </is>
      </c>
      <c r="C25" s="19" t="inlineStr">
        <is>
          <t xml:space="preserve">Genişletilmiş</t>
        </is>
      </c>
      <c r="D25" s="19" t="inlineStr">
        <is>
          <t xml:space="preserve">Çift Vade türlerinin ekranlarda doğru görünmesi</t>
        </is>
      </c>
      <c r="E25" s="20" t="inlineStr">
        <is>
          <t xml:space="preserve">Bir Çift Vade Spread ve bir Çift Vade Faiz çifti hazır.</t>
        </is>
      </c>
      <c r="F25" s="20" t="inlineStr">
        <is>
          <t xml:space="preserve">1. Her iki çiftin ayarlarını açıp kullanılan faiz/kademe değerlerini kaydedin.
2. Takip tablosundaki ilgili alanlarla karşılaştırın.
3. Paket ekranlarında türü ve değerleri kontrol edin.</t>
        </is>
      </c>
      <c r="G25" s="20" t="inlineStr">
        <is>
          <t xml:space="preserve">Her tür kendi faiz/kademe alanlarıyla tutarlı görünür; uygulanmayan alanlar yanıltıcı değer göstermez.</t>
        </is>
      </c>
      <c r="H25" s="19"/>
      <c r="I25" s="19" t="inlineStr">
        <is>
          <t xml:space="preserve">İlgili ayar ekranı, emir listesi, paket ve pozisyon ekranları.</t>
        </is>
      </c>
      <c r="J25" s="18" t="inlineStr">
        <is>
          <t xml:space="preserve">Test</t>
        </is>
      </c>
      <c r="K25" s="18" t="inlineStr">
        <is>
          <t xml:space="preserve">Az</t>
        </is>
      </c>
      <c r="L25" s="20" t="inlineStr">
        <is>
          <t xml:space="preserve">İki tür ayrı ayrı değerlendirilir.</t>
        </is>
      </c>
      <c r="M25" s="21"/>
    </row>
    <row r="26" spans="1:13" ht="86.25" customHeight="1" x14ac:dyDescent="0.25">
      <c r="A26" s="17"/>
      <c r="B26" s="18"/>
      <c r="C26" s="19"/>
      <c r="D26" s="19"/>
      <c r="E26" s="20"/>
      <c r="F26" s="20"/>
      <c r="G26" s="20"/>
      <c r="H26" s="19"/>
      <c r="I26" s="19"/>
      <c r="J26" s="18"/>
      <c r="K26" s="18"/>
      <c r="L26" s="20"/>
      <c r="M26" s="21"/>
    </row>
    <row r="27" spans="1:13" ht="99" customHeight="1" x14ac:dyDescent="0.25">
      <c r="A27" s="17"/>
      <c r="B27" s="18"/>
      <c r="C27" s="19"/>
      <c r="D27" s="19"/>
      <c r="E27" s="20"/>
      <c r="F27" s="20"/>
      <c r="G27" s="20"/>
      <c r="H27" s="19"/>
      <c r="I27" s="19"/>
      <c r="J27" s="18"/>
      <c r="K27" s="18"/>
      <c r="L27" s="20"/>
      <c r="M27" s="21"/>
    </row>
    <row r="28" spans="1:13" ht="99" customHeight="1" x14ac:dyDescent="0.25">
      <c r="A28" s="17"/>
      <c r="B28" s="18"/>
      <c r="C28" s="19"/>
      <c r="D28" s="19"/>
      <c r="E28" s="20"/>
      <c r="F28" s="20"/>
      <c r="G28" s="20"/>
      <c r="H28" s="19"/>
      <c r="I28" s="19"/>
      <c r="J28" s="18"/>
      <c r="K28" s="18"/>
      <c r="L28" s="20"/>
      <c r="M28" s="21"/>
    </row>
    <row r="29" spans="1:13" x14ac:dyDescent="0.25" ht="112.0" customHeight="1">
      <c r="A29" s="17"/>
      <c r="B29" s="18"/>
      <c r="C29" s="19"/>
      <c r="D29" s="19"/>
      <c r="E29" s="20"/>
      <c r="F29" s="20"/>
      <c r="G29" s="20"/>
      <c r="H29" s="19"/>
      <c r="I29" s="19"/>
      <c r="J29" s="18"/>
      <c r="K29" s="18"/>
      <c r="L29" s="20"/>
      <c r="M29" s="21"/>
    </row>
  </sheetData>
  <autoFilter ref="A10:M25"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fRule type="cellIs" dxfId="9" priority="10" operator="equal">
      <formula>"Kısmen"</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 / B02</t>
        </is>
      </c>
      <c r="G8" s="24"/>
    </row>
    <row r="9" spans="1:7" x14ac:dyDescent="0.25" ht="125.0" customHeight="1">
      <c r="A9" s="18" t="inlineStr">
        <is>
          <t xml:space="preserve">P04</t>
        </is>
      </c>
      <c r="B9" s="19" t="inlineStr">
        <is>
          <t xml:space="preserve">Fonlama Maliyeti</t>
        </is>
      </c>
      <c r="C9" s="19" t="inlineStr">
        <is>
          <t xml:space="preserve">Tam sayı yüzde puanı; örnek 2</t>
        </is>
      </c>
      <c r="D9" s="18" t="inlineStr">
        <is>
          <t xml:space="preserve">Opsiyonel</t>
        </is>
      </c>
      <c r="E9" s="20" t="inlineStr">
        <is>
          <t xml:space="preserve">Yalnız tam sayı girilir. Örnek: 35 hedef + 2 maliyet = 37.</t>
        </is>
      </c>
      <c r="F9" s="20" t="inlineStr">
        <is>
          <t xml:space="preserve">B08</t>
        </is>
      </c>
      <c r="G9" s="24"/>
    </row>
    <row r="10" spans="1:7" ht="123" customHeight="1" x14ac:dyDescent="0.25">
      <c r="A10" s="18" t="inlineStr">
        <is>
          <t xml:space="preserve">P05</t>
        </is>
      </c>
      <c r="B10" s="19" t="inlineStr">
        <is>
          <t xml:space="preserve">Temettü</t>
        </is>
      </c>
      <c r="C10" s="19" t="inlineStr">
        <is>
          <t xml:space="preserve">Birim netleştirilmeli</t>
        </is>
      </c>
      <c r="D10" s="18" t="inlineStr">
        <is>
          <t xml:space="preserve">Karar bekliyor</t>
        </is>
      </c>
      <c r="E10" s="20" t="inlineStr">
        <is>
          <t xml:space="preserve">Temettü parasal tutardır; fiyat ve yön hesabındaki birim tutarlılığı doğrulanmalıdır. 2,50 TL için giriş değerini varsaymayın; R07 ile kontrol edin.</t>
        </is>
      </c>
      <c r="F10" s="20" t="inlineStr">
        <is>
          <t xml:space="preserve">R07</t>
        </is>
      </c>
      <c r="G10" s="24"/>
    </row>
    <row r="11" spans="1:7" x14ac:dyDescent="0.25" ht="125.0" customHeight="1">
      <c r="A11" s="18" t="inlineStr">
        <is>
          <t xml:space="preserve">P06</t>
        </is>
      </c>
      <c r="B11" s="19" t="inlineStr">
        <is>
          <t xml:space="preserve">Dayanak seçimi</t>
        </is>
      </c>
      <c r="C11" s="19" t="inlineStr">
        <is>
          <t xml:space="preserve">Enstrüman adı</t>
        </is>
      </c>
      <c r="D11" s="18" t="inlineStr">
        <is>
          <t xml:space="preserve">Opsiyonel</t>
        </is>
      </c>
      <c r="E11" s="20" t="inlineStr">
        <is>
          <t xml:space="preserve">Dayanak ilk eklemede seçilir; farklı dayanak/vadeli çifti kurulabilir. Ayarlarda dayanak alanı pasiftir ve değiştirilemez.</t>
        </is>
      </c>
      <c r="F11" s="20" t="inlineStr">
        <is>
          <t xml:space="preserve">R08</t>
        </is>
      </c>
      <c r="G11" s="24"/>
    </row>
    <row r="12" spans="1:7" x14ac:dyDescent="0.25" ht="138.0" customHeight="1">
      <c r="A12" s="18" t="inlineStr">
        <is>
          <t xml:space="preserve">P07</t>
        </is>
      </c>
      <c r="B12" s="19" t="inlineStr">
        <is>
          <t xml:space="preserve">Spot Miktarı</t>
        </is>
      </c>
      <c r="C12" s="19" t="inlineStr">
        <is>
          <t xml:space="preserve">Lot / kontrat</t>
        </is>
      </c>
      <c r="D12" s="18" t="inlineStr">
        <is>
          <t xml:space="preserve">Opsiyonel</t>
        </is>
      </c>
      <c r="E12" s="20" t="inlineStr">
        <is>
          <t xml:space="preserve">Çift Vade ve Çift Vade Faiz için varsayılan 1. Kullanıcı değiştirebilir; Opsiyonel Ayarlar açıkken ikinci bacak miktarı seçilen çarpana göre oluşur.</t>
        </is>
      </c>
      <c r="F12" s="20" t="inlineStr">
        <is>
          <t xml:space="preserve">B12 / R04</t>
        </is>
      </c>
      <c r="G12" s="24"/>
    </row>
    <row r="13" spans="1:7" x14ac:dyDescent="0.25" ht="73.0" customHeight="1">
      <c r="A13" s="18" t="inlineStr">
        <is>
          <t xml:space="preserve">P08</t>
        </is>
      </c>
      <c r="B13" s="19" t="inlineStr">
        <is>
          <t xml:space="preserve">Kontrat Limiti</t>
        </is>
      </c>
      <c r="C13" s="19" t="inlineStr">
        <is>
          <t xml:space="preserve">Kontrat; RA: 4</t>
        </is>
      </c>
      <c r="D13" s="18" t="inlineStr">
        <is>
          <t xml:space="preserve">Açılış</t>
        </is>
      </c>
      <c r="E13" s="20" t="inlineStr">
        <is>
          <t xml:space="preserve">Limite ulaşınca yeni açılış olmamalıdır.</t>
        </is>
      </c>
      <c r="F13" s="20" t="inlineStr">
        <is>
          <t xml:space="preserve">A05</t>
        </is>
      </c>
      <c r="G13" s="24"/>
    </row>
    <row r="14" spans="1:7" x14ac:dyDescent="0.25" ht="73.0" customHeight="1">
      <c r="A14" s="18" t="inlineStr">
        <is>
          <t xml:space="preserve">P09</t>
        </is>
      </c>
      <c r="B14" s="19" t="inlineStr">
        <is>
          <t xml:space="preserve">Kontrat Kapatma Limiti</t>
        </is>
      </c>
      <c r="C14" s="19" t="inlineStr">
        <is>
          <t xml:space="preserve">Kontrat; RA: 2</t>
        </is>
      </c>
      <c r="D14" s="18" t="inlineStr">
        <is>
          <t xml:space="preserve">Kapanış</t>
        </is>
      </c>
      <c r="E14" s="20" t="inlineStr">
        <is>
          <t xml:space="preserve">Kapatma Limiti açıkken tamamlanan kapanış sayısını kontrol edin.</t>
        </is>
      </c>
      <c r="F14" s="20" t="inlineStr">
        <is>
          <t xml:space="preserve">A07</t>
        </is>
      </c>
      <c r="G14" s="24"/>
    </row>
    <row r="15" spans="1:7" x14ac:dyDescent="0.25" ht="73.0" customHeight="1">
      <c r="A15" s="18" t="inlineStr">
        <is>
          <t xml:space="preserve">P10</t>
        </is>
      </c>
      <c r="B15" s="19" t="inlineStr">
        <is>
          <t xml:space="preserve">Paket Limiti</t>
        </is>
      </c>
      <c r="C15" s="19" t="inlineStr">
        <is>
          <t xml:space="preserve">Kontrat; RA: 1</t>
        </is>
      </c>
      <c r="D15" s="18" t="inlineStr">
        <is>
          <t xml:space="preserve">Açılış</t>
        </is>
      </c>
      <c r="E15" s="20" t="inlineStr">
        <is>
          <t xml:space="preserve">Tek açılıştaki miktarı kontrol edin. 0 girişinin etkisi ayrıca denenir.</t>
        </is>
      </c>
      <c r="F15" s="20" t="inlineStr">
        <is>
          <t xml:space="preserve">A04 / B11</t>
        </is>
      </c>
      <c r="G15" s="24"/>
    </row>
    <row r="16" spans="1:7" x14ac:dyDescent="0.25" ht="73.0" customHeight="1">
      <c r="A16" s="18" t="inlineStr">
        <is>
          <t xml:space="preserve">P11</t>
        </is>
      </c>
      <c r="B16" s="19" t="inlineStr">
        <is>
          <t xml:space="preserve">Paket Kapatma Limiti</t>
        </is>
      </c>
      <c r="C16" s="19" t="inlineStr">
        <is>
          <t xml:space="preserve">Kontrat; RA: 1</t>
        </is>
      </c>
      <c r="D16" s="18" t="inlineStr">
        <is>
          <t xml:space="preserve">Kapanış</t>
        </is>
      </c>
      <c r="E16" s="20" t="inlineStr">
        <is>
          <t xml:space="preserve">Tek kapanış emrindeki kontrat miktarını kontrol edin.</t>
        </is>
      </c>
      <c r="F16" s="20" t="inlineStr">
        <is>
          <t xml:space="preserve">A06</t>
        </is>
      </c>
      <c r="G16" s="24"/>
    </row>
    <row r="17" spans="1:7" x14ac:dyDescent="0.25" ht="73.0" customHeight="1">
      <c r="A17" s="18" t="inlineStr">
        <is>
          <t xml:space="preserve">P12</t>
        </is>
      </c>
      <c r="B17" s="19" t="inlineStr">
        <is>
          <t xml:space="preserve">İşlem Tipi</t>
        </is>
      </c>
      <c r="C17" s="19" t="inlineStr">
        <is>
          <t xml:space="preserve">Aktif / Pasif</t>
        </is>
      </c>
      <c r="D17" s="18" t="inlineStr">
        <is>
          <t xml:space="preserve">Emir davranışı</t>
        </is>
      </c>
      <c r="E17" s="20" t="inlineStr">
        <is>
          <t xml:space="preserve">Pasif emir tahtada bekler. Aktif işlemde koşul oluşunca karşı fiyatla işlem denenir.</t>
        </is>
      </c>
      <c r="F17" s="20" t="inlineStr">
        <is>
          <t xml:space="preserve">A01 / B04</t>
        </is>
      </c>
      <c r="G17" s="24"/>
    </row>
    <row r="18" spans="1:7" x14ac:dyDescent="0.25" ht="73.0" customHeight="1">
      <c r="A18" s="18" t="inlineStr">
        <is>
          <t xml:space="preserve">P13</t>
        </is>
      </c>
      <c r="B18" s="19" t="inlineStr">
        <is>
          <t xml:space="preserve">Açığa Satış</t>
        </is>
      </c>
      <c r="C18" s="19" t="inlineStr">
        <is>
          <t xml:space="preserve">Serbest / Yasak</t>
        </is>
      </c>
      <c r="D18" s="18" t="inlineStr">
        <is>
          <t xml:space="preserve">İşlem yönü</t>
        </is>
      </c>
      <c r="E18" s="20" t="inlineStr">
        <is>
          <t xml:space="preserve">Yasak seçiliyken spot satışla yeni pozisyon açılmamalıdır.</t>
        </is>
      </c>
      <c r="F18" s="20" t="inlineStr">
        <is>
          <t xml:space="preserve">A10 / B01</t>
        </is>
      </c>
      <c r="G18" s="24"/>
    </row>
    <row r="19" spans="1:7" x14ac:dyDescent="0.25" ht="73.0" customHeight="1">
      <c r="A19" s="18" t="inlineStr">
        <is>
          <t xml:space="preserve">P14</t>
        </is>
      </c>
      <c r="B19" s="19" t="inlineStr">
        <is>
          <t xml:space="preserve">Satış Tipi</t>
        </is>
      </c>
      <c r="C19" s="19" t="inlineStr">
        <is>
          <t xml:space="preserve">Sell / Short</t>
        </is>
      </c>
      <c r="D19" s="18" t="inlineStr">
        <is>
          <t xml:space="preserve">Spot satış</t>
        </is>
      </c>
      <c r="E19" s="20" t="inlineStr">
        <is>
          <t xml:space="preserve">Ekrandaki normal satış/açığa satış bilgisini Emir Geçmişi ile karşılaştırın.</t>
        </is>
      </c>
      <c r="F19" s="20" t="inlineStr">
        <is>
          <t xml:space="preserve">B03</t>
        </is>
      </c>
      <c r="G19" s="24"/>
    </row>
    <row r="20" spans="1:7" ht="135.75" customHeight="1" x14ac:dyDescent="0.25">
      <c r="A20" s="18" t="inlineStr">
        <is>
          <t xml:space="preserve">P15</t>
        </is>
      </c>
      <c r="B20" s="19" t="inlineStr">
        <is>
          <t xml:space="preserve">Açılış / Kapanış Kademesi</t>
        </is>
      </c>
      <c r="C20" s="19" t="inlineStr">
        <is>
          <t xml:space="preserve">Kademe</t>
        </is>
      </c>
      <c r="D20" s="18" t="inlineStr">
        <is>
          <t xml:space="preserve">Spread türleri</t>
        </is>
      </c>
      <c r="E20" s="20" t="inlineStr">
        <is>
          <t xml:space="preserve">Tür, yön ve kapanış seçimine uygun eşikleri kaydedin.</t>
        </is>
      </c>
      <c r="F20" s="20" t="inlineStr">
        <is>
          <t xml:space="preserve">C01 / C02 / C04</t>
        </is>
      </c>
      <c r="G20" s="24"/>
    </row>
    <row r="21" spans="1:7" x14ac:dyDescent="0.25" ht="99.0" customHeight="1">
      <c r="A21" s="18" t="inlineStr">
        <is>
          <t xml:space="preserve">P16</t>
        </is>
      </c>
      <c r="B21" s="19" t="inlineStr">
        <is>
          <t xml:space="preserve">Başlangıç açık emirleri</t>
        </is>
      </c>
      <c r="C21" s="19" t="inlineStr">
        <is>
          <t xml:space="preserve">Emir no / kalan miktar</t>
        </is>
      </c>
      <c r="D21" s="18" t="inlineStr">
        <is>
          <t xml:space="preserve">Her koşu</t>
        </is>
      </c>
      <c r="E21" s="20" t="inlineStr">
        <is>
          <t xml:space="preserve">Testten önce bekleyen emirleri kaydedin; önceki test emrini yeni emirle karıştırmayın.</t>
        </is>
      </c>
      <c r="F21" s="20" t="inlineStr">
        <is>
          <t xml:space="preserve">G04 / E07</t>
        </is>
      </c>
      <c r="G21" s="24"/>
    </row>
    <row r="22" spans="1:7" x14ac:dyDescent="0.25" ht="73.0" customHeight="1">
      <c r="A22" s="18" t="inlineStr">
        <is>
          <t xml:space="preserve">P17</t>
        </is>
      </c>
      <c r="B22" s="19" t="inlineStr">
        <is>
          <t xml:space="preserve">Adaptif Spread</t>
        </is>
      </c>
      <c r="C22" s="19" t="inlineStr">
        <is>
          <t xml:space="preserve">Açık/kapalı ve kademe</t>
        </is>
      </c>
      <c r="D22" s="18" t="inlineStr">
        <is>
          <t xml:space="preserve">Ek özellik</t>
        </is>
      </c>
      <c r="E22" s="20" t="inlineStr">
        <is>
          <t xml:space="preserve">Açık ve kapalı durumda pasif emir fiyatını karşılaştırın.</t>
        </is>
      </c>
      <c r="F22" s="20" t="inlineStr">
        <is>
          <t xml:space="preserve">B09</t>
        </is>
      </c>
      <c r="G22" s="24"/>
    </row>
    <row r="23" spans="1:7" x14ac:dyDescent="0.25" ht="86.0" customHeight="1">
      <c r="A23" s="18" t="inlineStr">
        <is>
          <t xml:space="preserve">P18</t>
        </is>
      </c>
      <c r="B23" s="19" t="inlineStr">
        <is>
          <t xml:space="preserve">Stop Loss</t>
        </is>
      </c>
      <c r="C23" s="19" t="inlineStr">
        <is>
          <t xml:space="preserve">Kademe / saniye / tip</t>
        </is>
      </c>
      <c r="D23" s="18" t="inlineStr">
        <is>
          <t xml:space="preserve">Spot emir</t>
        </is>
      </c>
      <c r="E23" s="20" t="inlineStr">
        <is>
          <t xml:space="preserve">Süre ve fiyat farkı koşullarını ayrı deneyin; fiyat değiştirme ile gerçekleşmeyi ayırın.</t>
        </is>
      </c>
      <c r="F23" s="20" t="inlineStr">
        <is>
          <t xml:space="preserve">A08 / A09 / B06</t>
        </is>
      </c>
      <c r="G23" s="24"/>
    </row>
    <row r="24" spans="1:7" ht="135.75" customHeight="1" x14ac:dyDescent="0.25">
      <c r="A24" s="18" t="inlineStr">
        <is>
          <t xml:space="preserve">P19</t>
        </is>
      </c>
      <c r="B24" s="19" t="inlineStr">
        <is>
          <t xml:space="preserve">Başlangıç / Bitiş</t>
        </is>
      </c>
      <c r="C24" s="19" t="inlineStr">
        <is>
          <t xml:space="preserve">Saat:dakika</t>
        </is>
      </c>
      <c r="D24" s="18" t="inlineStr">
        <is>
          <t xml:space="preserve">Zaman ayarı</t>
        </is>
      </c>
      <c r="E24" s="20" t="inlineStr">
        <is>
          <t xml:space="preserve">Başlangıç bitişten sonra olamaz. Başlangıç öncesi yeni emir olmaması ve bitişte durma ayrı test edilir; bekleyen emirlerin iptal sonuçları da kontrol edilir.</t>
        </is>
      </c>
      <c r="F24" s="20" t="inlineStr">
        <is>
          <t xml:space="preserve">A12 / R02 / R03</t>
        </is>
      </c>
      <c r="G24" s="24"/>
    </row>
    <row r="25" spans="1:7" x14ac:dyDescent="0.25" ht="112.0" customHeight="1">
      <c r="A25" s="18" t="inlineStr">
        <is>
          <t xml:space="preserve">P20</t>
        </is>
      </c>
      <c r="B25" s="19" t="inlineStr">
        <is>
          <t xml:space="preserve">Vade seçimi</t>
        </is>
      </c>
      <c r="C25" s="19" t="inlineStr">
        <is>
          <t xml:space="preserve">Vade tarihi</t>
        </is>
      </c>
      <c r="D25" s="18" t="inlineStr">
        <is>
          <t xml:space="preserve">Çift oluşturma</t>
        </is>
      </c>
      <c r="E25" s="20" t="inlineStr">
        <is>
          <t xml:space="preserve">Geçerli iki farklı vade seçildiğini kontrol edin.</t>
        </is>
      </c>
      <c r="F25" s="20" t="inlineStr">
        <is>
          <t xml:space="preserve">C07 / F03</t>
        </is>
      </c>
      <c r="G25" s="24"/>
    </row>
    <row r="26" spans="1:7" x14ac:dyDescent="0.25" ht="73.0" customHeight="1">
      <c r="A26" s="18" t="inlineStr">
        <is>
          <t xml:space="preserve">P21</t>
        </is>
      </c>
      <c r="B26" s="19" t="inlineStr">
        <is>
          <t xml:space="preserve">Vadeli ve dayanak</t>
        </is>
      </c>
      <c r="C26" s="19" t="inlineStr">
        <is>
          <t xml:space="preserve">Enstrüman adları</t>
        </is>
      </c>
      <c r="D26" s="18" t="inlineStr">
        <is>
          <t xml:space="preserve">Çift oluşturma</t>
        </is>
      </c>
      <c r="E26" s="20" t="inlineStr">
        <is>
          <t xml:space="preserve">Emirler seçilen iki enstrümana gitmelidir.</t>
        </is>
      </c>
      <c r="F26" s="20" t="inlineStr">
        <is>
          <t xml:space="preserve">G04 / A03</t>
        </is>
      </c>
      <c r="G26" s="24"/>
    </row>
    <row r="27" spans="1:7" x14ac:dyDescent="0.25" ht="112.0" customHeight="1">
      <c r="A27" s="18" t="inlineStr">
        <is>
          <t xml:space="preserve">P22</t>
        </is>
      </c>
      <c r="B27" s="19" t="inlineStr">
        <is>
          <t xml:space="preserve">Kanal</t>
        </is>
      </c>
      <c r="C27" s="19" t="inlineStr">
        <is>
          <t xml:space="preserve">Ouch / Fix</t>
        </is>
      </c>
      <c r="D27" s="18" t="inlineStr">
        <is>
          <t xml:space="preserve">Emir gönderimi</t>
        </is>
      </c>
      <c r="E27" s="20" t="inlineStr">
        <is>
          <t xml:space="preserve">Test hesabında kullanılabilen kanalı seçin; emir detayından karşılaştırın.</t>
        </is>
      </c>
      <c r="F27" s="20" t="inlineStr">
        <is>
          <t xml:space="preserve">A13 / B13</t>
        </is>
      </c>
      <c r="G27" s="24"/>
    </row>
    <row r="28" spans="1:7" x14ac:dyDescent="0.25" ht="86.0" customHeight="1">
      <c r="A28" s="18" t="inlineStr">
        <is>
          <t xml:space="preserve">P23</t>
        </is>
      </c>
      <c r="B28" s="19" t="inlineStr">
        <is>
          <t xml:space="preserve">Seçenekler</t>
        </is>
      </c>
      <c r="C28" s="19" t="inlineStr">
        <is>
          <t xml:space="preserve">İşaretli / işaretsiz</t>
        </is>
      </c>
      <c r="D28" s="18" t="inlineStr">
        <is>
          <t xml:space="preserve">Ayar kaydı</t>
        </is>
      </c>
      <c r="E28" s="20" t="inlineStr">
        <is>
          <t xml:space="preserve">Seçimi kaydedin, pencereyi yeniden açıp korunduğunu kontrol edin.</t>
        </is>
      </c>
      <c r="F28" s="20" t="inlineStr">
        <is>
          <t xml:space="preserve">F05</t>
        </is>
      </c>
      <c r="G28" s="24"/>
    </row>
    <row r="29" spans="1:7" x14ac:dyDescent="0.25" ht="138.0" customHeight="1">
      <c r="A29" s="18" t="inlineStr">
        <is>
          <t xml:space="preserve">P24</t>
        </is>
      </c>
      <c r="B29" s="19" t="inlineStr">
        <is>
          <t xml:space="preserve">Faiz Arbitraj</t>
        </is>
      </c>
      <c r="C29" s="19" t="inlineStr">
        <is>
          <t xml:space="preserve">Faiz eşikleri</t>
        </is>
      </c>
      <c r="D29" s="18" t="inlineStr">
        <is>
          <t xml:space="preserve">Temel akış</t>
        </is>
      </c>
      <c r="E29" s="20" t="inlineStr">
        <is>
          <t xml:space="preserve">Vadeli ve spot yönlerini, paket oluşumunu ve kapanışı birlikte kontrol edin.</t>
        </is>
      </c>
      <c r="F29" s="20" t="inlineStr">
        <is>
          <t xml:space="preserve">A01–A06 / B01</t>
        </is>
      </c>
      <c r="G29" s="24"/>
    </row>
    <row r="30" spans="1:7" ht="84.75" customHeight="1" x14ac:dyDescent="0.25">
      <c r="A30" s="18" t="inlineStr">
        <is>
          <t xml:space="preserve">P25</t>
        </is>
      </c>
      <c r="B30" s="19" t="inlineStr">
        <is>
          <t xml:space="preserve">Spread Arbitraj</t>
        </is>
      </c>
      <c r="C30" s="19" t="inlineStr">
        <is>
          <t xml:space="preserve">Kademe eşikleri</t>
        </is>
      </c>
      <c r="D30" s="18" t="inlineStr">
        <is>
          <t xml:space="preserve">Temel akış</t>
        </is>
      </c>
      <c r="E30" s="20" t="inlineStr">
        <is>
          <t xml:space="preserve">Alım ve Satım yönlerinde iki bacağı ve kapanışı kontrol edin.</t>
        </is>
      </c>
      <c r="F30" s="20" t="inlineStr">
        <is>
          <t xml:space="preserve">C01 / C02</t>
        </is>
      </c>
      <c r="G30" s="24"/>
    </row>
    <row r="31" spans="1:7" x14ac:dyDescent="0.25" ht="73.0" customHeight="1">
      <c r="A31" s="18" t="inlineStr">
        <is>
          <t xml:space="preserve">P26</t>
        </is>
      </c>
      <c r="B31" s="19" t="inlineStr">
        <is>
          <t xml:space="preserve">Çift Vade Spread</t>
        </is>
      </c>
      <c r="C31" s="19" t="inlineStr">
        <is>
          <t xml:space="preserve">İki vade / kontrat</t>
        </is>
      </c>
      <c r="D31" s="18" t="inlineStr">
        <is>
          <t xml:space="preserve">Temel akış</t>
        </is>
      </c>
      <c r="E31" s="20" t="inlineStr">
        <is>
          <t xml:space="preserve">Yönleri ve iki bacaktaki eşit miktarı karşılaştırın.</t>
        </is>
      </c>
      <c r="F31" s="20" t="inlineStr">
        <is>
          <t xml:space="preserve">C05</t>
        </is>
      </c>
      <c r="G31" s="24"/>
    </row>
    <row r="32" spans="1:7" x14ac:dyDescent="0.25" ht="47.0" customHeight="1">
      <c r="A32" s="18" t="inlineStr">
        <is>
          <t xml:space="preserve">P27</t>
        </is>
      </c>
      <c r="B32" s="19" t="inlineStr">
        <is>
          <t xml:space="preserve">Çift Vade Faiz</t>
        </is>
      </c>
      <c r="C32" s="19" t="inlineStr">
        <is>
          <t xml:space="preserve">İki vade / faiz</t>
        </is>
      </c>
      <c r="D32" s="18" t="inlineStr">
        <is>
          <t xml:space="preserve">Temel akış</t>
        </is>
      </c>
      <c r="E32" s="20" t="inlineStr">
        <is>
          <t xml:space="preserve">İki vadenin tarih farkını, emir yönlerini ve miktarları kontrol edin.</t>
        </is>
      </c>
      <c r="F32" s="20" t="inlineStr">
        <is>
          <t xml:space="preserve">C06 / R19</t>
        </is>
      </c>
      <c r="G32" s="24"/>
    </row>
    <row r="33" spans="1:7" ht="135.75" customHeight="1" x14ac:dyDescent="0.25">
      <c r="A33" s="18" t="inlineStr">
        <is>
          <t xml:space="preserve">P28</t>
        </is>
      </c>
      <c r="B33" s="19" t="inlineStr">
        <is>
          <t xml:space="preserve">Vadeye kalan gün</t>
        </is>
      </c>
      <c r="C33" s="19" t="inlineStr">
        <is>
          <t xml:space="preserve">Gün</t>
        </is>
      </c>
      <c r="D33" s="18" t="inlineStr">
        <is>
          <t xml:space="preserve">Hesap kontrolü</t>
        </is>
      </c>
      <c r="E33" s="20" t="inlineStr">
        <is>
          <t xml:space="preserve">Ekrandaki süreyi tarih ve takas/tatil hesabıyla karşılaştırın.</t>
        </is>
      </c>
      <c r="F33" s="20" t="inlineStr">
        <is>
          <t xml:space="preserve">D03 / R05</t>
        </is>
      </c>
      <c r="G33" s="24"/>
    </row>
    <row r="34" spans="1:7" x14ac:dyDescent="0.25" ht="125.0" customHeight="1">
      <c r="A34" s="18" t="inlineStr">
        <is>
          <t xml:space="preserve">P30</t>
        </is>
      </c>
      <c r="B34" s="19" t="inlineStr">
        <is>
          <t xml:space="preserve">Kapatma Limiti</t>
        </is>
      </c>
      <c r="C34" s="19" t="inlineStr">
        <is>
          <t xml:space="preserve">İşaretli / işaretsiz</t>
        </is>
      </c>
      <c r="D34" s="18" t="inlineStr">
        <is>
          <t xml:space="preserve">Kapanış</t>
        </is>
      </c>
      <c r="E34" s="20" t="inlineStr">
        <is>
          <t xml:space="preserve">Açıkken kapanış limiti uygulanır; kapalı durum ayrı denenir.</t>
        </is>
      </c>
      <c r="F34" s="20" t="inlineStr">
        <is>
          <t xml:space="preserve">A07 / B10</t>
        </is>
      </c>
      <c r="G34" s="24"/>
    </row>
    <row r="35" spans="1:7" x14ac:dyDescent="0.25" ht="73.0" customHeight="1">
      <c r="A35" s="18" t="inlineStr">
        <is>
          <t xml:space="preserve">P31</t>
        </is>
      </c>
      <c r="B35" s="19" t="inlineStr">
        <is>
          <t xml:space="preserve">Piyasaya Göre Kapat</t>
        </is>
      </c>
      <c r="C35" s="19" t="inlineStr">
        <is>
          <t xml:space="preserve">İşaretli / işaretsiz</t>
        </is>
      </c>
      <c r="D35" s="18" t="inlineStr">
        <is>
          <t xml:space="preserve">Spread kapanışı</t>
        </is>
      </c>
      <c r="E35" s="20" t="inlineStr">
        <is>
          <t xml:space="preserve">Seçime göre kullanılan kapanış fiyatını karşılaştırın.</t>
        </is>
      </c>
      <c r="F35" s="20" t="inlineStr">
        <is>
          <t xml:space="preserve">C04</t>
        </is>
      </c>
      <c r="G35" s="24"/>
    </row>
    <row r="36" spans="1:7" x14ac:dyDescent="0.25" ht="73.0" customHeight="1">
      <c r="A36" s="18" t="inlineStr">
        <is>
          <t xml:space="preserve">P32</t>
        </is>
      </c>
      <c r="B36" s="19" t="inlineStr">
        <is>
          <t xml:space="preserve">Vadeli Açılış Tarafı</t>
        </is>
      </c>
      <c r="C36" s="19" t="inlineStr">
        <is>
          <t xml:space="preserve">Alım / Satım / Otomatik</t>
        </is>
      </c>
      <c r="D36" s="18" t="inlineStr">
        <is>
          <t xml:space="preserve">Yön seçimi</t>
        </is>
      </c>
      <c r="E36" s="20" t="inlineStr">
        <is>
          <t xml:space="preserve">Alım ve Satım ayrı denenir. Otomatik yön için beklenen davranış netleşmelidir.</t>
        </is>
      </c>
      <c r="F36" s="20" t="inlineStr">
        <is>
          <t xml:space="preserve">C01 / C02 / R01</t>
        </is>
      </c>
      <c r="G36" s="24"/>
    </row>
    <row r="37" spans="1:7" x14ac:dyDescent="0.25" ht="151.0" customHeight="1">
      <c r="A37" s="18" t="inlineStr">
        <is>
          <t xml:space="preserve">P33</t>
        </is>
      </c>
      <c r="B37" s="19" t="inlineStr">
        <is>
          <t xml:space="preserve">Opsiyonel Ayarlar</t>
        </is>
      </c>
      <c r="C37" s="19" t="inlineStr">
        <is>
          <t xml:space="preserve">İşaretli / işaretsiz</t>
        </is>
      </c>
      <c r="D37" s="18" t="inlineStr">
        <is>
          <t xml:space="preserve">Ek ayarlar</t>
        </is>
      </c>
      <c r="E37" s="20" t="inlineStr">
        <is>
          <t xml:space="preserve">Çift Vade türlerinde varsayılan çarpan 1. Farklı çarpanın uygulanmasını opsiyonel ayar açıkken kontrol edin.</t>
        </is>
      </c>
      <c r="F37" s="20" t="inlineStr">
        <is>
          <t xml:space="preserve">B12 / R04</t>
        </is>
      </c>
      <c r="G37" s="24"/>
    </row>
    <row r="38" spans="1:7" x14ac:dyDescent="0.25" ht="73.0" customHeight="1">
      <c r="A38" s="18" t="inlineStr">
        <is>
          <t xml:space="preserve">P34</t>
        </is>
      </c>
      <c r="B38" s="19" t="inlineStr">
        <is>
          <t xml:space="preserve">Alış / Satış Hedef Faiz</t>
        </is>
      </c>
      <c r="C38" s="19" t="inlineStr">
        <is>
          <t xml:space="preserve">Yüzde</t>
        </is>
      </c>
      <c r="D38" s="18" t="inlineStr">
        <is>
          <t xml:space="preserve">Açılış eşiği</t>
        </is>
      </c>
      <c r="E38" s="20" t="inlineStr">
        <is>
          <t xml:space="preserve">Seçilen yönün açılış faizini kaydedin; RA satış hedefi 35 örneğini kullanır.</t>
        </is>
      </c>
      <c r="F38" s="20" t="inlineStr">
        <is>
          <t xml:space="preserve">A01 / B01</t>
        </is>
      </c>
      <c r="G38" s="24"/>
    </row>
    <row r="39" spans="1:7" x14ac:dyDescent="0.25" ht="73.0" customHeight="1">
      <c r="A39" s="18" t="inlineStr">
        <is>
          <t xml:space="preserve">P35</t>
        </is>
      </c>
      <c r="B39" s="19" t="inlineStr">
        <is>
          <t xml:space="preserve">Alış / Satış Kapatma Faiz</t>
        </is>
      </c>
      <c r="C39" s="19" t="inlineStr">
        <is>
          <t xml:space="preserve">Yüzde</t>
        </is>
      </c>
      <c r="D39" s="18" t="inlineStr">
        <is>
          <t xml:space="preserve">Kapanış eşiği</t>
        </is>
      </c>
      <c r="E39" s="20" t="inlineStr">
        <is>
          <t xml:space="preserve">Seçilen yönün kapanış faizini kaydedin; RA satış kapatma faizi 29 örneğini kullanır.</t>
        </is>
      </c>
      <c r="F39" s="20" t="inlineStr">
        <is>
          <t xml:space="preserve">A06 / B01</t>
        </is>
      </c>
      <c r="G39" s="24"/>
    </row>
    <row r="40" spans="1:7" x14ac:dyDescent="0.25" ht="73.0" customHeight="1">
      <c r="A40" s="18" t="inlineStr">
        <is>
          <t xml:space="preserve">P36</t>
        </is>
      </c>
      <c r="B40" s="19" t="inlineStr">
        <is>
          <t xml:space="preserve">Test sonrası temizlik</t>
        </is>
      </c>
      <c r="C40" s="19" t="inlineStr">
        <is>
          <t xml:space="preserve">Emir / paket / pozisyon</t>
        </is>
      </c>
      <c r="D40" s="18" t="inlineStr">
        <is>
          <t xml:space="preserve">Her koşu</t>
        </is>
      </c>
      <c r="E40" s="20" t="inlineStr">
        <is>
          <t xml:space="preserve">Stratejiyi durdurun; kalan emir ve pozisyonları kaydedip test sorumlusuyla sonuçlandırın.</t>
        </is>
      </c>
      <c r="F40" s="20" t="inlineStr">
        <is>
          <t xml:space="preserve">E01 / E07</t>
        </is>
      </c>
      <c r="G40" s="24"/>
    </row>
    <row r="41" spans="1:7" x14ac:dyDescent="0.25" ht="73.0" customHeight="1">
      <c r="A41" s="18" t="inlineStr">
        <is>
          <t xml:space="preserve">P37</t>
        </is>
      </c>
      <c r="B41" s="19" t="inlineStr">
        <is>
          <t xml:space="preserve">Toplu Ayar</t>
        </is>
      </c>
      <c r="C41" s="19" t="inlineStr">
        <is>
          <t xml:space="preserve">Seçili çiftler</t>
        </is>
      </c>
      <c r="D41" s="18" t="inlineStr">
        <is>
          <t xml:space="preserve">Ana sanity</t>
        </is>
      </c>
      <c r="E41" s="20" t="inlineStr">
        <is>
          <t xml:space="preserve">Değişen alanın uygulandığını ve diğer ayarların korunduğunu kontrol edin.</t>
        </is>
      </c>
      <c r="F41" s="20" t="inlineStr">
        <is>
          <t xml:space="preserve">R06</t>
        </is>
      </c>
      <c r="G41" s="24"/>
    </row>
    <row r="42" spans="1:7" x14ac:dyDescent="0.25" ht="125.0" customHeight="1">
      <c r="A42" s="18" t="inlineStr">
        <is>
          <t xml:space="preserve">P38</t>
        </is>
      </c>
      <c r="B42" s="19" t="inlineStr">
        <is>
          <t xml:space="preserve">Kaydet</t>
        </is>
      </c>
      <c r="C42" s="19" t="inlineStr">
        <is>
          <t xml:space="preserve">Geçerli / geçersiz giriş</t>
        </is>
      </c>
      <c r="D42" s="18" t="inlineStr">
        <is>
          <t xml:space="preserve">Ayar kontrolü</t>
        </is>
      </c>
      <c r="E42" s="20" t="inlineStr">
        <is>
          <t xml:space="preserve">Başlangıç bitişten sonraysa kayıt engellenir. Limitler boş veya 0 kaydedilebilir. Kaydetme bildirimi ve yeniden açılan değerleri kontrol edin.</t>
        </is>
      </c>
      <c r="F42" s="20" t="inlineStr">
        <is>
          <t xml:space="preserve">F05 / R10</t>
        </is>
      </c>
      <c r="G42" s="24"/>
    </row>
    <row r="43" spans="1:7" x14ac:dyDescent="0.25" ht="112.0" customHeight="1">
      <c r="A43" s="18"/>
      <c r="B43" s="19"/>
      <c r="C43" s="19"/>
      <c r="D43" s="18"/>
      <c r="E43" s="20"/>
      <c r="F43" s="20"/>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2"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Karar bekliyor</t>
        </is>
      </c>
    </row>
    <row r="5" spans="1:5" ht="15" customHeight="1" x14ac:dyDescent="0.25">
      <c r="A5" s="24" t="s">
        <v>16</v>
      </c>
      <c r="B5" s="24" t="inlineStr">
        <is>
          <t xml:space="preserve">Customer/Prod</t>
        </is>
      </c>
      <c r="D5" s="24" t="inlineStr">
        <is>
          <t xml:space="preserve">Ön koşul</t>
        </is>
      </c>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