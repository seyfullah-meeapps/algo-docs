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Ayar Rehberi" sheetId="4" r:id="rId4"/>
    <sheet name="Listeler" sheetId="5" state="hidden" r:id="rId5"/>
  </sheets>
  <definedNames>
    <definedName name="_xlnm._FilterDatabase" localSheetId="1" hidden="1">'Arbitraj Senaryoları'!$A$18:$M$75</definedName>
    <definedName name="_xlnm._FilterDatabase" localSheetId="0" hidden="1">Genel!$A$19:$M$24</definedName>
    <definedName name="_xlnm._FilterDatabase" localSheetId="3" hidden="1">'Ayar Rehberi'!$A$5:$F$43</definedName>
    <definedName name="_xlnm._FilterDatabase" localSheetId="2" hidden="1">Regresyon!$A$10:$M$26</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1"/>
  <c r="J2" i="1"/>
  <c r="L2" i="1"/>
  <c r="H3" i="1"/>
  <c r="J3" i="1"/>
  <c r="L3" i="1"/>
  <c r="H4" i="1"/>
  <c r="J4" i="1"/>
  <c r="H2" i="2"/>
  <c r="J2" i="2"/>
  <c r="L2" i="2"/>
  <c r="H3" i="2"/>
  <c r="J3" i="2"/>
  <c r="L3" i="2"/>
  <c r="H4" i="2"/>
  <c r="J4" i="2"/>
  <c r="H2" i="3"/>
  <c r="J2" i="3"/>
  <c r="L2" i="3"/>
  <c r="H3" i="3"/>
  <c r="J3" i="3"/>
  <c r="L3" i="3"/>
  <c r="H4" i="3"/>
  <c r="J4" i="3"/>
</calcChain>
</file>

<file path=xl/sharedStrings.xml><?xml version="1.0" encoding="utf-8"?>
<sst xmlns="http://schemas.openxmlformats.org/spreadsheetml/2006/main" count="1270" uniqueCount="941">
  <si>
    <t>MEEAPPS</t>
  </si>
  <si>
    <t>Proje Adı:</t>
  </si>
  <si>
    <t>MTrader</t>
  </si>
  <si>
    <t>Testi Hazırlayan:</t>
  </si>
  <si>
    <t>ÖZET</t>
  </si>
  <si>
    <t>Modül Adı:</t>
  </si>
  <si>
    <t/>
  </si>
  <si>
    <t>Hazırlama Tarihi:</t>
  </si>
  <si>
    <t>Toplam</t>
  </si>
  <si>
    <t>Bölüm:</t>
  </si>
  <si>
    <t/>
  </si>
  <si>
    <t>Testi Yapan:</t>
  </si>
  <si>
    <t>Başarılı</t>
  </si>
  <si>
    <t/>
  </si>
  <si>
    <t/>
  </si>
  <si>
    <t>Test Tarihi:</t>
  </si>
  <si>
    <t>Başarısız</t>
  </si>
  <si>
    <t>Genel Ön Koşul:</t>
  </si>
  <si>
    <t/>
  </si>
  <si>
    <t/>
  </si>
  <si>
    <t/>
  </si>
  <si>
    <t/>
  </si>
  <si>
    <t/>
  </si>
  <si>
    <t>TEST EDENİN BİLMESİ GEREKENLER</t>
  </si>
  <si>
    <t/>
  </si>
  <si>
    <t/>
  </si>
  <si>
    <t/>
  </si>
  <si>
    <t/>
  </si>
  <si>
    <t/>
  </si>
  <si>
    <t/>
  </si>
  <si>
    <t/>
  </si>
  <si>
    <t/>
  </si>
  <si>
    <t/>
  </si>
  <si>
    <t/>
  </si>
  <si>
    <t/>
  </si>
  <si>
    <t/>
  </si>
  <si>
    <t>Test ID</t>
  </si>
  <si>
    <t>Sonuç</t>
  </si>
  <si>
    <t/>
  </si>
  <si>
    <t>Test Senaryosu</t>
  </si>
  <si>
    <t>Ön Koşullar</t>
  </si>
  <si>
    <t>Test Adımları</t>
  </si>
  <si>
    <t>Beklenen Sonuç</t>
  </si>
  <si>
    <t>Gerçekleşen Sonuç</t>
  </si>
  <si>
    <t/>
  </si>
  <si>
    <t>Ortam</t>
  </si>
  <si>
    <t>Öncelik</t>
  </si>
  <si>
    <t/>
  </si>
  <si>
    <t>Ekler</t>
  </si>
  <si>
    <t>TC-ARB-G01</t>
  </si>
  <si>
    <t/>
  </si>
  <si>
    <t/>
  </si>
  <si>
    <t/>
  </si>
  <si>
    <t/>
  </si>
  <si>
    <t/>
  </si>
  <si>
    <t/>
  </si>
  <si>
    <t>Prod</t>
  </si>
  <si>
    <t>Yüksek</t>
  </si>
  <si>
    <t/>
  </si>
  <si>
    <t>TC-ARB-G02</t>
  </si>
  <si>
    <t/>
  </si>
  <si>
    <t/>
  </si>
  <si>
    <t/>
  </si>
  <si>
    <t/>
  </si>
  <si>
    <t/>
  </si>
  <si>
    <t/>
  </si>
  <si>
    <t>TC-ARB-G03</t>
  </si>
  <si>
    <t/>
  </si>
  <si>
    <t/>
  </si>
  <si>
    <t/>
  </si>
  <si>
    <t/>
  </si>
  <si>
    <t/>
  </si>
  <si>
    <t/>
  </si>
  <si>
    <t>TC-ARB-G04</t>
  </si>
  <si>
    <t/>
  </si>
  <si>
    <t/>
  </si>
  <si>
    <t/>
  </si>
  <si>
    <t/>
  </si>
  <si>
    <t/>
  </si>
  <si>
    <t>Test</t>
  </si>
  <si>
    <t/>
  </si>
  <si>
    <t>TC-ARB-G05</t>
  </si>
  <si>
    <t/>
  </si>
  <si>
    <t/>
  </si>
  <si>
    <t/>
  </si>
  <si>
    <t/>
  </si>
  <si>
    <t/>
  </si>
  <si>
    <t>Customer/Prod</t>
  </si>
  <si>
    <t>Orta</t>
  </si>
  <si>
    <t/>
  </si>
  <si>
    <t/>
  </si>
  <si>
    <t/>
  </si>
  <si>
    <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</si>
  <si>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</si>
  <si>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</si>
  <si>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</si>
  <si>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</si>
  <si>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</si>
  <si>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</si>
  <si>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</si>
  <si>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
  </si>
  <si>
    <t/>
  </si>
  <si>
    <t/>
  </si>
  <si>
    <t>TC-ARB-A01</t>
  </si>
  <si>
    <t/>
  </si>
  <si>
    <t>Pasif açılış emrinin doğru fiyattan tahtaya konması</t>
  </si>
  <si>
    <t/>
  </si>
  <si>
    <t/>
  </si>
  <si>
    <t>Tahtada 1 kontratlık vadeli SATIŞ emri durur. Fiyatı, piyasadaki faizin %35 olduğu vadeli fiyata eşittir (fiyat adımı yuvarlaması hariç). Faiz henüz %35'e ulaşmadığı için emir dolmaz ve spot emri gönderilmez.</t>
  </si>
  <si>
    <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</si>
  <si>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</si>
  <si>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</si>
  <si>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</si>
  <si>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</si>
  <si>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
  </si>
  <si>
    <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</si>
  <si>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</si>
  <si>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</si>
  <si>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</si>
  <si>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</si>
  <si>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
  </si>
  <si>
    <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</si>
  <si>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</si>
  <si>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</si>
  <si>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</si>
  <si>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</si>
  <si>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</si>
  <si>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</si>
  <si>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</si>
  <si>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</si>
  <si>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</si>
  <si>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</si>
  <si>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</si>
  <si>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
  </si>
  <si>
    <t>TC-ARB-A06</t>
  </si>
  <si>
    <t>Piyasadaki faiz %29'a inince pozisyonun kapatılması</t>
  </si>
  <si>
    <t>RA. En az 1 açık paket var.</t>
  </si>
  <si>
    <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</si>
  <si>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</si>
  <si>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</si>
  <si>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</si>
  <si>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</si>
  <si>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</si>
  <si>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</si>
  <si>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</si>
  <si>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
  </si>
  <si>
    <t>TC-ARB-A08</t>
  </si>
  <si>
    <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</si>
  <si>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</si>
  <si>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</si>
  <si>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
  </si>
  <si>
    <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</si>
  <si>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</si>
  <si>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</si>
  <si>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</si>
  <si>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</si>
  <si>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
  </si>
  <si>
    <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</si>
  <si>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</si>
  <si>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</si>
  <si>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</si>
  <si>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</si>
  <si>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</si>
  <si>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
  </si>
  <si>
    <t>TC-ARB-A11</t>
  </si>
  <si>
    <t>Stratejinin 10:00'dan önce başlatılması</t>
  </si>
  <si>
    <t>RA. Saat 09:40–10:00 arası (açılış seansı).</t>
  </si>
  <si>
    <t/>
  </si>
  <si>
    <t>Strateji 10:00'a kadar bekler ve sürekli müzayede başlayınca kendiliğinden emir koymaya başlar.</t>
  </si>
  <si>
    <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</si>
  <si>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</si>
  <si>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</si>
  <si>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</si>
  <si>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</si>
  <si>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</si>
  <si>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</si>
  <si>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</si>
  <si>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</si>
  <si>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</si>
  <si>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</si>
  <si>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</si>
  <si>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
  </si>
  <si>
    <t>TC-ARB-B01</t>
  </si>
  <si>
    <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</si>
  <si>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</si>
  <si>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</si>
  <si>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</si>
  <si>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</si>
  <si>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</si>
  <si>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</si>
  <si>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</si>
  <si>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</si>
  <si>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</si>
  <si>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</si>
  <si>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</si>
  <si>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</si>
  <si>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</si>
  <si>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</si>
  <si>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</si>
  <si>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</si>
  <si>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
  </si>
  <si>
    <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</si>
  <si>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</si>
  <si>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</si>
  <si>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</si>
  <si>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</si>
  <si>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</si>
  <si>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
  </si>
  <si>
    <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</si>
  <si>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</si>
  <si>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</si>
  <si>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</si>
  <si>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</si>
  <si>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</si>
  <si>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
  </si>
  <si>
    <t/>
  </si>
  <si>
    <t>TC-ARB-B06</t>
  </si>
  <si>
    <t/>
  </si>
  <si>
    <t>RA + Stop Loss Tipi: Aktif.</t>
  </si>
  <si>
    <t>1. Stop Loss'u Aktif yap ve kaydet
2. Bir açılışın vadeli bacağının dolmasını bekle
3. Spot emrinin tipini ve dolma süresini kaydet</t>
  </si>
  <si>
    <t/>
  </si>
  <si>
    <t/>
  </si>
  <si>
    <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</si>
  <si>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</si>
  <si>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</si>
  <si>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</si>
  <si>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</si>
  <si>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</si>
  <si>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
  </si>
  <si>
    <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</si>
  <si>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</si>
  <si>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</si>
  <si>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</si>
  <si>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</si>
  <si>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</si>
  <si>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
  </si>
  <si>
    <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</si>
  <si>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</si>
  <si>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</si>
  <si>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</si>
  <si>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</si>
  <si>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</si>
  <si>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
  </si>
  <si>
    <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</si>
  <si>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</si>
  <si>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</si>
  <si>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</si>
  <si>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</si>
  <si>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</si>
  <si>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
  </si>
  <si>
    <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</si>
  <si>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</si>
  <si>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</si>
  <si>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</si>
  <si>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</si>
  <si>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</si>
  <si>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
  </si>
  <si>
    <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</si>
  <si>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</si>
  <si>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</si>
  <si>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</si>
  <si>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</si>
  <si>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</si>
  <si>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
  </si>
  <si>
    <t/>
  </si>
  <si>
    <t>TC-ARB-B13</t>
  </si>
  <si>
    <t>Kanal Fix ile emir gönderimi</t>
  </si>
  <si>
    <t/>
  </si>
  <si>
    <t>1. Kanal'ı Fix yap ve kaydet
2. Bir açılış gerçekleşmesini bekle
3. Emir Geçmişi'nde vadeli ve spot emirleri kontrol et</t>
  </si>
  <si>
    <t/>
  </si>
  <si>
    <t/>
  </si>
  <si>
    <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</si>
  <si>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</si>
  <si>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</si>
  <si>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</si>
  <si>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</si>
  <si>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</si>
  <si>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
  </si>
  <si>
    <t>TC-ARB-C01</t>
  </si>
  <si>
    <t/>
  </si>
  <si>
    <t>Spread Arbitraj — Satım tarafı</t>
  </si>
  <si>
    <t>Spread Arbitraj çifti; Vadeli Açılış Tarafı: Satım, Açılış Kademe ve Net Kar Kademe dolu; diğerleri RA.</t>
  </si>
  <si>
    <t/>
  </si>
  <si>
    <t>Fark Açılış Kademe'ye eşit ya da üstündeyken vadeli satılır, spot alınır. Kâr Net Kar Kademe'ye ulaşınca (eşitlik dahil) pozisyon kapanır. Faiz oranı kullanılmaz.</t>
  </si>
  <si>
    <t/>
  </si>
  <si>
    <t/>
  </si>
  <si>
    <t>TC-ARB-C02</t>
  </si>
  <si>
    <t>Spread Arbitraj — Alım tarafı</t>
  </si>
  <si>
    <t>Spread Arbitraj çifti; Vadeli Açılış Tarafı: Alım, Açığa Satış: Serbest, Açılış Kademe ve Net Kar Kademe dolu.</t>
  </si>
  <si>
    <t/>
  </si>
  <si>
    <t>Açığa Satış Serbest iken fark Açılış Kademe'ye eşit ya da altındayken vadeli alınır, spot satılır; kapanış Net Kar Kademe'de yapılır. Açığa Satış Yasak iken hiç emir gönderilmez.</t>
  </si>
  <si>
    <t/>
  </si>
  <si>
    <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</si>
  <si>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</si>
  <si>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</si>
  <si>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</si>
  <si>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</si>
  <si>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</si>
  <si>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
  </si>
  <si>
    <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</si>
  <si>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</si>
  <si>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</si>
  <si>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</si>
  <si>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</si>
  <si>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</si>
  <si>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
  </si>
  <si>
    <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</si>
  <si>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</si>
  <si>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</si>
  <si>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</si>
  <si>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</si>
  <si>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</si>
  <si>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
  </si>
  <si>
    <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</si>
  <si>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</si>
  <si>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</si>
  <si>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</si>
  <si>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</si>
  <si>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</si>
  <si>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
  </si>
  <si>
    <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</si>
  <si>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</si>
  <si>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</si>
  <si>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</si>
  <si>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</si>
  <si>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</si>
  <si>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
  </si>
  <si>
    <t/>
  </si>
  <si>
    <t>TC-ARB-D01</t>
  </si>
  <si>
    <t/>
  </si>
  <si>
    <t>Teorik fiyatın doğrulanması</t>
  </si>
  <si>
    <t>Faiz Arbitraj çifti; Baz Faiz 40; referans değerler not edilmiş.</t>
  </si>
  <si>
    <t/>
  </si>
  <si>
    <t>Ekrandaki teorik fiyat elle hesaplanan değerle aynıdır (kuruş yuvarlaması hariç).</t>
  </si>
  <si>
    <t/>
  </si>
  <si>
    <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</si>
  <si>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</si>
  <si>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</si>
  <si>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</si>
  <si>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</si>
  <si>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</si>
  <si>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
  </si>
  <si>
    <t/>
  </si>
  <si>
    <t>TC-ARB-D03</t>
  </si>
  <si>
    <t>Vadeye kalan gün hesabı</t>
  </si>
  <si>
    <t>1. Takip tablosunda V.K.G.'yi kaydet
2. Vade tarihine kadar takvim gününü elle say
3. Bugünden ve vade tarihinden sonraki ikişer iş gününü (hafta sonu ve resmi tatiller hariç) not et</t>
  </si>
  <si>
    <t/>
  </si>
  <si>
    <t/>
  </si>
  <si>
    <t>TC-ARB-D04</t>
  </si>
  <si>
    <t>Kâr hesabının doğrulanması</t>
  </si>
  <si>
    <t/>
  </si>
  <si>
    <t/>
  </si>
  <si>
    <t/>
  </si>
  <si>
    <t/>
  </si>
  <si>
    <t/>
  </si>
  <si>
    <t>TC-ARB-E01</t>
  </si>
  <si>
    <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</si>
  <si>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</si>
  <si>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</si>
  <si>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</si>
  <si>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
  </si>
  <si>
    <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</si>
  <si>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</si>
  <si>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</si>
  <si>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</si>
  <si>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</si>
  <si>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</si>
  <si>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
  </si>
  <si>
    <t>TC-ARB-E03</t>
  </si>
  <si>
    <t/>
  </si>
  <si>
    <t>RA; gün sonunda açık paketi kalan bir çift (bitiş saatinde kapanmamış).</t>
  </si>
  <si>
    <t/>
  </si>
  <si>
    <t/>
  </si>
  <si>
    <t/>
  </si>
  <si>
    <t/>
  </si>
  <si>
    <t>TC-ARB-E04</t>
  </si>
  <si>
    <t>Sürekli müzayede dışına çıkılınca durma</t>
  </si>
  <si>
    <t>RA + Bitiş saati 18:30.</t>
  </si>
  <si>
    <t/>
  </si>
  <si>
    <t>Spot bacağın sürekli müzayedesi bittiği an strateji durur ve vadeli emirler iptal edilir. Seans tekrar başlasa bile strateji kendiliğinden devam etmez.</t>
  </si>
  <si>
    <t/>
  </si>
  <si>
    <t/>
  </si>
  <si>
    <t>TC-ARB-E05</t>
  </si>
  <si>
    <t>Spotun tavan veya tabana değmesi</t>
  </si>
  <si>
    <t>RA. Gün içinde tavan/taban fiyatına yaklaşan bir hisse (fırsat bulunursa).</t>
  </si>
  <si>
    <t/>
  </si>
  <si>
    <t>Strateji kendini durdurur ve vadeli emirler iptal edilir.</t>
  </si>
  <si>
    <t/>
  </si>
  <si>
    <t>Az</t>
  </si>
  <si>
    <t>TC-ARB-E06</t>
  </si>
  <si>
    <t>Borsa / PTRM reddinde stratejinin durması</t>
  </si>
  <si>
    <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</si>
  <si>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</si>
  <si>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</si>
  <si>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
  </si>
  <si>
    <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</si>
  <si>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</si>
  <si>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</si>
  <si>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</si>
  <si>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</si>
  <si>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
  </si>
  <si>
    <t/>
  </si>
  <si>
    <t>TC-ARB-F01</t>
  </si>
  <si>
    <t/>
  </si>
  <si>
    <t>Çift ekleme (Faiz / Spread)</t>
  </si>
  <si>
    <t/>
  </si>
  <si>
    <t/>
  </si>
  <si>
    <t/>
  </si>
  <si>
    <t/>
  </si>
  <si>
    <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</si>
  <si>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</si>
  <si>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</si>
  <si>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</si>
  <si>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</si>
  <si>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</si>
  <si>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
  </si>
  <si>
    <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</si>
  <si>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</si>
  <si>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</si>
  <si>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</si>
  <si>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</si>
  <si>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</si>
  <si>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</si>
  <si>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</si>
  <si>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</si>
  <si>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</si>
  <si>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</si>
  <si>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</si>
  <si>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
  </si>
  <si>
    <t/>
  </si>
  <si>
    <t>TC-ARB-F05</t>
  </si>
  <si>
    <t>Ayarların kaydedilip geri okunması</t>
  </si>
  <si>
    <t>Kayıtlı ayarı olan ve olmayan birer çift.</t>
  </si>
  <si>
    <t/>
  </si>
  <si>
    <t/>
  </si>
  <si>
    <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</si>
  <si>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</si>
  <si>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</si>
  <si>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</si>
  <si>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</si>
  <si>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</si>
  <si>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
  </si>
  <si>
    <t>TC-ARB-F07</t>
  </si>
  <si>
    <t>Toplu başlat / durdur</t>
  </si>
  <si>
    <t>Bir kısmı çalışan, bir kısmı durmuş birkaç çift.</t>
  </si>
  <si>
    <t>1. Çalışan ve duran çiftleri birlikte seç
2. Başlıktaki ▶/⏸ toplu butonuna bas
3. Her satırın son durumunu kaydet</t>
  </si>
  <si>
    <t/>
  </si>
  <si>
    <t/>
  </si>
  <si>
    <t>TC-ARB-F08</t>
  </si>
  <si>
    <t>Excel ile dışa ve içe aktarma</t>
  </si>
  <si>
    <t>Arbitraj takip paneli açık; birkaç kayıtlı çift.</t>
  </si>
  <si>
    <t/>
  </si>
  <si>
    <t/>
  </si>
  <si>
    <t>TC-ARB-F09</t>
  </si>
  <si>
    <t>Paket Ekle, Paketi Değiştir ve paket silme</t>
  </si>
  <si>
    <t>Strateji durmuş bir Faiz Arbitraj çifti (test ortamında).</t>
  </si>
  <si>
    <t/>
  </si>
  <si>
    <t>Paket eklenince listede görünür ve pozisyon artar; değiştirilince yeni değerler görünür; silinince listeden kalkar ve pozisyon azalır. Silme öncesi onay istenir. Strateji çalışırken ekleme ve değiştirme yapılamaz ve kullanıcı uyarılır.</t>
  </si>
  <si>
    <t/>
  </si>
  <si>
    <t>TC-ARB-F10</t>
  </si>
  <si>
    <t>Pasif Emirler paneli ve manuel spot müdahalesi</t>
  </si>
  <si>
    <t>RA; spot bacakta pasif bekleyen bir emir var.</t>
  </si>
  <si>
    <t/>
  </si>
  <si>
    <t/>
  </si>
  <si>
    <t/>
  </si>
  <si>
    <t>TC-ARB-F11</t>
  </si>
  <si>
    <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</si>
  <si>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</si>
  <si>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</si>
  <si>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</si>
  <si>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
  </si>
  <si>
    <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</si>
  <si>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</si>
  <si>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</si>
  <si>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</si>
  <si>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</si>
  <si>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</si>
  <si>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
  </si>
  <si>
    <t/>
  </si>
  <si>
    <t/>
  </si>
  <si>
    <t>Açıklama:</t>
  </si>
  <si>
    <t/>
  </si>
  <si>
    <t/>
  </si>
  <si>
    <t/>
  </si>
  <si>
    <t/>
  </si>
  <si>
    <t/>
  </si>
  <si>
    <t>Başlık</t>
  </si>
  <si>
    <t/>
  </si>
  <si>
    <t/>
  </si>
  <si>
    <t/>
  </si>
  <si>
    <t>Test Edilmedi</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</si>
  <si>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</si>
  <si>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</si>
  <si>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</si>
  <si>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</si>
  <si>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</si>
  <si>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</si>
  <si>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</si>
  <si>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</si>
  <si>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</si>
  <si>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</si>
  <si>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</si>
  <si>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</si>
  <si>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</si>
  <si>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</si>
  <si>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</si>
  <si>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</si>
  <si>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</si>
  <si>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</si>
  <si>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</si>
  <si>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</si>
  <si>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</si>
  <si>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</si>
  <si>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</si>
  <si>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</si>
  <si>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</si>
  <si>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</si>
  <si>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</si>
  <si>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</si>
  <si>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</si>
  <si>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</si>
  <si>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</si>
  <si>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</si>
  <si>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</si>
  <si>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</si>
  <si>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</si>
  <si>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</si>
  <si>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</si>
  <si>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</si>
  <si>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</si>
  <si>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</si>
  <si>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</si>
  <si>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</si>
  <si>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</si>
  <si>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</si>
  <si>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</si>
  <si>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</si>
  <si>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</si>
  <si>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</si>
  <si>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</si>
  <si>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</si>
  <si>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</si>
  <si>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</si>
  <si>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</si>
  <si>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</si>
  <si>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</si>
  <si>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</si>
  <si>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</si>
  <si>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</si>
  <si>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</si>
  <si>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</si>
  <si>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</si>
  <si>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</si>
  <si>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</si>
  <si>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</si>
  <si>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</si>
  <si>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</si>
  <si>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</si>
  <si>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</si>
  <si>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</si>
  <si>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</si>
  <si>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</si>
  <si>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</si>
  <si>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</si>
  <si>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</si>
  <si>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</si>
  <si>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</si>
  <si>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</si>
  <si>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</si>
  <si>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</si>
  <si>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</si>
  <si>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</si>
  <si>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</si>
  <si>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</si>
  <si>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</si>
  <si>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</si>
  <si>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</si>
  <si>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</si>
  <si>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</si>
  <si>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</si>
  <si>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</si>
  <si>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</si>
  <si>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</si>
  <si>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</si>
  <si>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</si>
  <si>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</si>
  <si>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</si>
  <si>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</si>
  <si>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</si>
  <si>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</si>
  <si>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</si>
  <si>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</si>
  <si>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</si>
  <si>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</si>
  <si>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</si>
  <si>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</si>
  <si>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</si>
  <si>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</si>
  <si>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</si>
  <si>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</si>
  <si>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</si>
  <si>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</si>
  <si>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</si>
  <si>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</si>
  <si>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</si>
  <si>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</si>
  <si>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</si>
  <si>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</si>
  <si>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</si>
  <si>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</si>
  <si>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</si>
  <si>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</si>
  <si>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</si>
  <si>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</si>
  <si>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</si>
  <si>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</si>
  <si>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</si>
  <si>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</si>
  <si>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</si>
  <si>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</si>
  <si>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</si>
  <si>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</si>
  <si>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</si>
  <si>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</si>
  <si>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</si>
  <si>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</si>
  <si>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</si>
  <si>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</si>
  <si>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</si>
  <si>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</si>
  <si>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</si>
  <si>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</si>
  <si>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</si>
  <si>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</si>
  <si>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</si>
  <si>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</si>
  <si>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</si>
  <si>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</si>
  <si>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</si>
  <si>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</si>
  <si>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</si>
  <si>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</si>
  <si>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</si>
  <si>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</si>
  <si>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</si>
  <si>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</si>
  <si>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</si>
  <si>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</si>
  <si>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</si>
  <si>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</si>
  <si>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</si>
  <si>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</si>
  <si>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</si>
  <si>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</si>
  <si>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</si>
  <si>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</si>
  <si>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</si>
  <si>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</si>
  <si>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</si>
  <si>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</si>
  <si>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</si>
  <si>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</si>
  <si>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</si>
  <si>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</si>
  <si>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</si>
  <si>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</si>
  <si>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</si>
  <si>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</si>
  <si>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</si>
  <si>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</si>
  <si>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</si>
  <si>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</si>
  <si>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</si>
  <si>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</si>
  <si>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</si>
  <si>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</si>
  <si>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</si>
  <si>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</si>
  <si>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</si>
  <si>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</si>
  <si>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</si>
  <si>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</si>
  <si>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</si>
  <si>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</si>
  <si>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</si>
  <si>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</si>
  <si>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</si>
  <si>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</si>
  <si>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</si>
  <si>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</si>
  <si>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</si>
  <si>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</si>
  <si>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</si>
  <si>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</si>
  <si>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</si>
  <si>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</si>
  <si>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</si>
  <si>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</si>
  <si>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</si>
  <si>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</si>
  <si>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</si>
  <si>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</si>
  <si>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</si>
  <si>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</si>
  <si>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</si>
  <si>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</si>
  <si>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</si>
  <si>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</si>
  <si>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</si>
  <si>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</si>
  <si>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</si>
  <si>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</si>
  <si>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</si>
  <si>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</si>
  <si>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</si>
  <si>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</si>
  <si>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</si>
  <si>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</si>
  <si>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</si>
  <si>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</si>
  <si>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</si>
  <si>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</si>
  <si>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</si>
  <si>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</si>
  <si>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</si>
  <si>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</si>
  <si>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</si>
  <si>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</si>
  <si>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</si>
  <si>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</si>
  <si>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</si>
  <si>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</si>
  <si>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</si>
  <si>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</si>
  <si>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</si>
  <si>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</si>
  <si>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</si>
  <si>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</si>
  <si>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</si>
  <si>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</si>
  <si>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</si>
  <si>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</si>
  <si>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</si>
  <si>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</si>
  <si>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</si>
  <si>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</si>
  <si>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</si>
  <si>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</si>
  <si>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</si>
  <si>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</si>
  <si>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</si>
  <si>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</si>
  <si>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</si>
  <si>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</si>
  <si>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</si>
  <si>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</si>
  <si>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</si>
  <si>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</si>
  <si>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</si>
  <si>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</si>
  <si>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</si>
  <si>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</si>
  <si>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</si>
  <si>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</si>
  <si>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</si>
  <si>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</si>
  <si>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</si>
  <si>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</si>
  <si>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</si>
  <si>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</si>
  <si>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</si>
  <si>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</si>
  <si>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</si>
  <si>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</si>
  <si>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</si>
  <si>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</si>
  <si>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</si>
  <si>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</si>
  <si>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</si>
  <si>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</si>
  <si>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</si>
  <si>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</si>
  <si>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</si>
  <si>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</si>
  <si>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</si>
  <si>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</si>
  <si>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</si>
  <si>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</si>
  <si>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</si>
  <si>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</si>
  <si>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</si>
  <si>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</si>
  <si>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</si>
  <si>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</si>
  <si>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</si>
  <si>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</si>
  <si>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</si>
  <si>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</si>
  <si>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</si>
  <si>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</si>
  <si>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</si>
  <si>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</si>
  <si>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</si>
  <si>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</si>
  <si>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</si>
  <si>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</si>
  <si>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</si>
  <si>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</si>
  <si>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</si>
  <si>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</si>
  <si>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</si>
  <si>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</si>
  <si>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</si>
  <si>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</si>
  <si>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</si>
  <si>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</si>
  <si>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</si>
  <si>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</si>
  <si>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</si>
  <si>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</si>
  <si>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</si>
  <si>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</si>
  <si>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</si>
  <si>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</si>
  <si>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</si>
  <si>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Test Ediliyor</t>
  </si>
  <si>
    <t/>
  </si>
  <si>
    <t>Bloke</t>
  </si>
  <si>
    <t/>
  </si>
  <si>
    <t>Emir hesaplanan faiz oranı fiyatına göre vadeli tarafta pasife yazıldı.</t>
  </si>
  <si>
    <t/>
  </si>
  <si>
    <t/>
  </si>
  <si>
    <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</si>
  <si>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</si>
  <si>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</si>
  <si>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
  </si>
  <si>
    <t/>
  </si>
  <si>
    <t xml:space="preserve">Kontrat limiti tamamlandığında strateji çalışmaya devam ediyor ama ayarları güncelleyene kadar yeni emir girilmiyor. </t>
  </si>
  <si>
    <t/>
  </si>
  <si>
    <t xml:space="preserve">Henüz kontrat limiti dolmadıysa paket kapatma ve açmak için olan vadeli emirleri aynı anda pasifte bekliyor. Vadeli emir gerekleşince spot taraftan satış emri gönderiliyor. </t>
  </si>
  <si>
    <t/>
  </si>
  <si>
    <t xml:space="preserve">Bir paket başarılı bir şekilde kapatıldıysa bu paket kontrat limitine dahil olmuyor, eğer kontrat limtinde yer varsa yeni paket açılımı için emir gönderildi. </t>
  </si>
  <si>
    <t/>
  </si>
  <si>
    <t/>
  </si>
  <si>
    <t/>
  </si>
  <si>
    <t/>
  </si>
  <si>
    <t/>
  </si>
  <si>
    <t xml:space="preserve">Emirler OUCH kanalı ile gönderiliyor. </t>
  </si>
  <si>
    <t/>
  </si>
  <si>
    <t/>
  </si>
  <si>
    <t/>
  </si>
  <si>
    <t/>
  </si>
  <si>
    <t xml:space="preserve">Ayarları kaydedip kapattığımda belirlediğim ayarlara göre strateji kendini güncelliyor, çalışmaya devam ediyor. </t>
  </si>
  <si>
    <t xml:space="preserve">Vadeye kalan gün doğru hesaplanıyğor. </t>
  </si>
  <si>
    <t/>
  </si>
  <si>
    <t/>
  </si>
  <si>
    <t/>
  </si>
  <si>
    <t/>
  </si>
  <si>
    <t/>
  </si>
  <si>
    <t xml:space="preserve">Ayarlar başarılı bir şekilde kaydediliyor. </t>
  </si>
  <si>
    <t/>
  </si>
  <si>
    <t/>
  </si>
  <si>
    <t/>
  </si>
  <si>
    <t/>
  </si>
  <si>
    <t xml:space="preserve">Excel ile indirdiğimiz panel ve stratejiler dosyasını güncelledikten sonra geri yüklediğimizde ayarlar da istediğim şekilde güncelleniyor. </t>
  </si>
  <si>
    <t/>
  </si>
  <si>
    <t xml:space="preserve">Strateji durdurken paket ekleme ve çıkarma, paket silme işlemleri başarılı bir şekilde gerçekleşiyor. </t>
  </si>
  <si>
    <t/>
  </si>
  <si>
    <t/>
  </si>
  <si>
    <t/>
  </si>
  <si>
    <t/>
  </si>
  <si>
    <t/>
  </si>
  <si>
    <t/>
  </si>
  <si>
    <t/>
  </si>
  <si>
    <t/>
  </si>
  <si>
    <t/>
  </si>
  <si>
    <t/>
  </si>
  <si>
    <t/>
  </si>
  <si>
    <t/>
  </si>
  <si>
    <t xml:space="preserve">RA. Strateji duruyor, çiftte açık pozisyon yok. Referans değerler (spot ve vadeli en iyi fiyatlar, V.K.G., fiyat adımı) not edilmiş.</t>
  </si>
  <si>
    <t/>
  </si>
  <si>
    <t/>
  </si>
  <si>
    <t/>
  </si>
  <si>
    <t/>
  </si>
  <si>
    <t/>
  </si>
  <si>
    <t/>
  </si>
  <si>
    <t/>
  </si>
  <si>
    <t/>
  </si>
  <si>
    <t/>
  </si>
  <si>
    <t/>
  </si>
  <si>
    <t/>
  </si>
  <si>
    <t/>
  </si>
  <si>
    <t/>
  </si>
  <si>
    <t/>
  </si>
  <si>
    <t xml:space="preserve">Spot emri beklemeden karşı taraftaki en iyi fiyattan gönderilir; Kademe ve Saniye değerleri dikkate alınmaz. Emir piyasa emri değil, karşı en iyi fiyattan günlük limit emirdir; tahta kayarsa hemen dolmayabilir.</t>
  </si>
  <si>
    <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</si>
  <si>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</si>
  <si>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</si>
  <si>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</si>
  <si>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</si>
  <si>
    <t/>
  </si>
  <si>
    <t xml:space="preserve">1. Sağ tık ▸ Arbitraj Hareketleri'nde Teorik Fiyat'ı kaydet
2. Aynı anda spotun son işlem fiyatını ve takip tablosundaki V.K.G.'yi kaydet
3. Elle hesapla: Spot son işlem fiyatı × (1 + 40 / 100 × Vadeye kalan gün / 365)</t>
  </si>
  <si>
    <t/>
  </si>
  <si>
    <t/>
  </si>
  <si>
    <t/>
  </si>
  <si>
    <t/>
  </si>
  <si>
    <t/>
  </si>
  <si>
    <t/>
  </si>
  <si>
    <t/>
  </si>
  <si>
    <t xml:space="preserve">1. Spot en iyi alış tavan fiyatına değdiğinde ya da en iyi satış taban fiyatına indiğinde (eşit ya da altında) stratejinin durumunu kaydet</t>
  </si>
  <si>
    <t/>
  </si>
  <si>
    <t xml:space="preserve">Bloke</t>
  </si>
  <si>
    <t/>
  </si>
  <si>
    <t/>
  </si>
  <si>
    <t/>
  </si>
  <si>
    <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</si>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</sst>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COUNTA($A$20:$A$399)</f>
        <v>5</v>
      </c>
      <c r="I2" s="9" t="inlineStr">
        <is>
          <t xml:space="preserve">Test Edilmedi</t>
        </is>
      </c>
      <c r="J2" s="13">
        <f>COUNTIF($B$20:$B$399,"Test Edilmedi")</f>
        <v>0</v>
      </c>
      <c r="K2" s="9" t="inlineStr">
        <is>
          <t xml:space="preserve">Bloke</t>
        </is>
      </c>
      <c r="L2" s="13">
        <f>COUNTIF($B$20:$B$399,"Bloke")</f>
        <v>0</v>
      </c>
    </row>
    <row r="3" spans="1:13" ht="21.75" customHeight="1" x14ac:dyDescent="0.25">
      <c r="A3" s="6"/>
      <c r="B3" s="6"/>
      <c r="C3" s="9" t="s">
        <v>9</v>
      </c>
      <c r="D3" s="10" t="inlineStr">
        <is>
          <t xml:space="preserve">Hazırlık ve ortak kontroller</t>
        </is>
      </c>
      <c r="E3" s="9" t="s">
        <v>11</v>
      </c>
      <c r="F3" s="11"/>
      <c r="G3" s="9" t="s">
        <v>12</v>
      </c>
      <c r="H3" s="13">
        <f>COUNTIF($B$20:$B$399,"Başarılı")</f>
        <v>5</v>
      </c>
      <c r="I3" s="9" t="inlineStr">
        <is>
          <t xml:space="preserve">Test Ediliyor</t>
        </is>
      </c>
      <c r="J3" s="13">
        <f>COUNTIF($B$20:$B$399,"Test Ediliyor")</f>
        <v>0</v>
      </c>
      <c r="K3" s="9" t="inlineStr">
        <is>
          <t xml:space="preserve">Sonuçsuz</t>
        </is>
      </c>
      <c r="L3" s="13">
        <f>COUNTBLANK($B$20:$B$24)</f>
        <v>0</v>
      </c>
    </row>
    <row r="4" spans="1:13" ht="21.75" customHeight="1" x14ac:dyDescent="0.25">
      <c r="A4" s="6"/>
      <c r="B4" s="6"/>
      <c r="C4" s="9" t="inlineStr">
        <is>
          <t xml:space="preserve">Doküman Sürümü:</t>
        </is>
      </c>
      <c r="D4" s="10" t="inlineStr">
        <is>
          <t xml:space="preserve">1.5</t>
        </is>
      </c>
      <c r="E4" s="9" t="s">
        <v>15</v>
      </c>
      <c r="F4" s="11"/>
      <c r="G4" s="9" t="s">
        <v>16</v>
      </c>
      <c r="H4" s="13">
        <f>COUNTIF($B$20:$B$399,"Başarısız")</f>
        <v>0</v>
      </c>
      <c r="I4" s="9" t="inlineStr">
        <is>
          <t xml:space="preserve">Kısmen</t>
        </is>
      </c>
      <c r="J4" s="13">
        <f>COUNTIF($B$20:$B$399,"Kısmen")</f>
        <v>0</v>
      </c>
    </row>
    <row r="6" spans="1:13" ht="42" customHeight="1" x14ac:dyDescent="0.25">
      <c r="A6" s="5" t="s">
        <v>17</v>
      </c>
      <c r="B6" s="5"/>
      <c r="C6" s="4" t="inlineStr">
        <is>
          <t xml:space="preserve">Yetkili test hesabı, açık Arbitraj paneli ve iki bacak için güncel fiyat gerekir. Hesap, çift, vade, başlangıç pozisyonu ve açık emirleri kaydedin. Emirli senaryoları test için ayrılmış hesapta uygulayın; gerekli piyasa koşulu yoksa Bloke yazıp nedenini belirtin.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28 genişletilmiş, 8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0" customHeight="1" x14ac:dyDescent="0.25">
      <c r="A11" s="2" t="inlineStr">
        <is>
          <t xml:space="preserve">Koşu bilgisi</t>
        </is>
      </c>
      <c r="B11" s="2"/>
      <c r="C11" s="1" t="inlineStr">
        <is>
          <t xml:space="preserve">Tarih/saat, testi yapan kişi, uygulamada görünen sürüm ve ortamı kaydedin. Hesap ve çift bilgilerini Not alanına yazın. Bilinmeyen geçmiş bilgileri tahmin etmeyin.</t>
        </is>
      </c>
      <c r="D11" s="1"/>
      <c r="E11" s="1"/>
      <c r="F11" s="1"/>
      <c r="G11" s="1"/>
      <c r="H11" s="1"/>
      <c r="I11" s="1"/>
      <c r="J11" s="1"/>
      <c r="K11" s="1"/>
      <c r="L11" s="1"/>
      <c r="M11" s="1"/>
    </row>
    <row r="12" spans="1:13" ht="49.5" customHeight="1" x14ac:dyDescent="0.25">
      <c r="A12" s="2" t="inlineStr">
        <is>
          <t xml:space="preserve">Ana sanity</t>
        </is>
      </c>
      <c r="B12" s="2"/>
      <c r="C12" s="1" t="inlineStr">
        <is>
          <t xml:space="preserve">Arbitraj Senaryoları ve Regresyon sayfalarında Test Kapsamı = Ana sanity filtresini kullanın. Önce çift ve ayarları hazırlayın, sonra emir/pozisyon akışını, en son durdurma ve temizliği kontrol edin.</t>
        </is>
      </c>
      <c r="D12" s="1"/>
      <c r="E12" s="1"/>
      <c r="F12" s="1"/>
      <c r="G12" s="1"/>
      <c r="H12" s="1"/>
      <c r="I12" s="1"/>
      <c r="J12" s="1"/>
      <c r="K12" s="1"/>
      <c r="L12" s="1"/>
      <c r="M12" s="1"/>
    </row>
    <row r="13" spans="1:13" ht="30" customHeight="1" x14ac:dyDescent="0.25">
      <c r="A13" s="2" t="inlineStr">
        <is>
          <t xml:space="preserve">Ek kontroller</t>
        </is>
      </c>
      <c r="B13" s="2"/>
      <c r="C13" s="1" t="inlineStr">
        <is>
          <t xml:space="preserve">Genişletilmiş: ilgili ayar veya iş akışı değiştiğinde çalıştırılır. Karar bekliyor: beklenen davranış sorumlu kişiyle netleşmeden başarılı/başarısız sayılmaz; engel açıklaması kaydedilir.</t>
        </is>
      </c>
      <c r="D13" s="1"/>
      <c r="E13" s="1"/>
      <c r="F13" s="1"/>
      <c r="G13" s="1"/>
      <c r="H13" s="1"/>
      <c r="I13" s="1"/>
      <c r="J13" s="1"/>
      <c r="K13" s="1"/>
      <c r="L13" s="1"/>
      <c r="M13" s="1"/>
    </row>
    <row r="14" spans="1:13" ht="30" customHeight="1" x14ac:dyDescent="0.25">
      <c r="A14" s="2" t="inlineStr">
        <is>
          <t xml:space="preserve">Referans ayarlar</t>
        </is>
      </c>
      <c r="B14" s="2"/>
      <c r="C14" s="1" t="inlineStr">
        <is>
          <t xml:space="preserve">Arbitraj Senaryoları sayfasındaki RA örnek ayar setidir. İlgili çiftin fiyatına ve seansına uygunluğunu doğrulayın; farklı değer kullanılırsa Not alanına yazın. Hazırlığı tamamlamadan emirli adıma geçmeyin.</t>
        </is>
      </c>
      <c r="D14" s="1"/>
      <c r="E14" s="1"/>
      <c r="F14" s="1"/>
      <c r="G14" s="1"/>
      <c r="H14" s="1"/>
      <c r="I14" s="1"/>
      <c r="J14" s="1"/>
      <c r="K14" s="1"/>
      <c r="L14" s="1"/>
      <c r="M14" s="1"/>
    </row>
    <row r="15" spans="1:13" ht="30" customHeight="1" x14ac:dyDescent="0.25">
      <c r="A15" s="2" t="inlineStr">
        <is>
          <t xml:space="preserve">Sonuç ve kanıt</t>
        </is>
      </c>
      <c r="B15" s="2"/>
      <c r="C15" s="1" t="inlineStr">
        <is>
          <t xml:space="preserve">Gerçekleşen Sonuç alanına gördüğünüz durumu yazın. Ekran görüntüsünü Ekler alanına bağlayın; emir numarası ve saati Not alanına ekleyin. Gözlenmeyen gerçekleşmeyi başarılı saymayın.</t>
        </is>
      </c>
      <c r="D15" s="1"/>
      <c r="E15" s="1"/>
      <c r="F15" s="1"/>
      <c r="G15" s="1"/>
      <c r="H15" s="1"/>
      <c r="I15" s="1"/>
      <c r="J15" s="1"/>
      <c r="K15" s="1"/>
      <c r="L15" s="1"/>
      <c r="M15" s="1"/>
    </row>
    <row r="16" spans="1:13" ht="30" customHeight="1" x14ac:dyDescent="0.25">
      <c r="A16" s="2" t="inlineStr">
        <is>
          <t xml:space="preserve">Test sonu</t>
        </is>
      </c>
      <c r="B16" s="2"/>
      <c r="C16" s="1" t="inlineStr">
        <is>
          <t xml:space="preserve">Stratejiyi durdurun; bekleyen emirleri, açık paketleri ve pozisyonları kontrol edin. Test için değiştirdiğiniz ayarları geri alın. Kalan emir/pozisyon varsa miktarı ve kime devredildiğini kaydedin.</t>
        </is>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inlineStr">
        <is>
          <t xml:space="preserve">Test Kapsamı</t>
        </is>
      </c>
      <c r="D19" s="16" t="s">
        <v>39</v>
      </c>
      <c r="E19" s="16" t="s">
        <v>40</v>
      </c>
      <c r="F19" s="16" t="s">
        <v>41</v>
      </c>
      <c r="G19" s="16" t="s">
        <v>42</v>
      </c>
      <c r="H19" s="16" t="s">
        <v>43</v>
      </c>
      <c r="I19" s="16" t="inlineStr">
        <is>
          <t xml:space="preserve">Kontrol Edilecek Ekran</t>
        </is>
      </c>
      <c r="J19" s="16" t="s">
        <v>45</v>
      </c>
      <c r="K19" s="16" t="s">
        <v>46</v>
      </c>
      <c r="L19" s="16" t="inlineStr">
        <is>
          <t xml:space="preserve">Not / Test Kaydı</t>
        </is>
      </c>
      <c r="M19" s="16" t="s">
        <v>48</v>
      </c>
    </row>
    <row r="20" spans="1:13" x14ac:dyDescent="0.25" ht="151.0" customHeight="1">
      <c r="A20" s="17" t="s">
        <v>49</v>
      </c>
      <c r="B20" s="18" t="s">
        <v>12</v>
      </c>
      <c r="C20" s="19" t="inlineStr">
        <is>
          <t xml:space="preserve">Ön koşul</t>
        </is>
      </c>
      <c r="D20" s="19" t="inlineStr">
        <is>
          <t xml:space="preserve">Arbitraj ekranına erişim</t>
        </is>
      </c>
      <c r="E20" s="19" t="inlineStr">
        <is>
          <t xml:space="preserve">Yetkili test kullanıcısıyla giriş yapılmış.</t>
        </is>
      </c>
      <c r="F20" s="20" t="inlineStr">
        <is>
          <t xml:space="preserve">1. Arbitraj panelini açın.
2. Kayıtlı test çiftlerinin listelendiğini kontrol edin.
3. Sayfayı yenileyip tekrar kontrol edin.</t>
        </is>
      </c>
      <c r="G20" s="19" t="inlineStr">
        <is>
          <t xml:space="preserve">Panel açılır; test çiftleri listelenir ve yenileme sonrası tekrar görünür.</t>
        </is>
      </c>
      <c r="H20" s="19"/>
      <c r="I20" s="19" t="inlineStr">
        <is>
          <t xml:space="preserve">Arbitraj takip tablosu.</t>
        </is>
      </c>
      <c r="J20" s="18" t="s">
        <v>56</v>
      </c>
      <c r="K20" s="18" t="s">
        <v>57</v>
      </c>
      <c r="L20" s="20"/>
      <c r="M20" s="21"/>
    </row>
    <row r="21" spans="1:13" ht="110.25" customHeight="1" x14ac:dyDescent="0.25">
      <c r="A21" s="18" t="s">
        <v>59</v>
      </c>
      <c r="B21" s="18" t="s">
        <v>12</v>
      </c>
      <c r="C21" s="19" t="inlineStr">
        <is>
          <t xml:space="preserve">Ön koşul</t>
        </is>
      </c>
      <c r="D21" s="19" t="inlineStr">
        <is>
          <t xml:space="preserve">Emir gönderimine hazırlık</t>
        </is>
      </c>
      <c r="E21" s="19" t="inlineStr">
        <is>
          <t xml:space="preserve">Test hesabı ve kullanılacak Ouch/Fix kanalı test sorumlusunca hazır olarak bildirilmiş.</t>
        </is>
      </c>
      <c r="F21" s="20" t="inlineStr">
        <is>
          <t xml:space="preserve">1. Hesap ve kanal seçimini kontrol edin.
2. Test hesabının emir listesine erişebildiğinizi doğrulayın.
3. İlk emirli senaryoda gönderim sonucunu emir numarasıyla takip edin.</t>
        </is>
      </c>
      <c r="G21" s="19" t="inlineStr">
        <is>
          <t xml:space="preserve">Doğru hesap/kanal seçilidir ve emir listesi açılır. Emir gönderiminin çalıştığı A01/A13 veya B13 sırasında ayrıca doğrulanır.</t>
        </is>
      </c>
      <c r="H21" s="19"/>
      <c r="I21" s="19" t="inlineStr">
        <is>
          <t xml:space="preserve">Ayar ekranı ve Emir Geçmişi.</t>
        </is>
      </c>
      <c r="J21" s="18" t="s">
        <v>56</v>
      </c>
      <c r="K21" s="18" t="s">
        <v>57</v>
      </c>
      <c r="L21" s="20"/>
      <c r="M21" s="21"/>
    </row>
    <row r="22" spans="1:13" x14ac:dyDescent="0.25" ht="99.0" customHeight="1">
      <c r="A22" s="18" t="s">
        <v>66</v>
      </c>
      <c r="B22" s="18" t="s">
        <v>12</v>
      </c>
      <c r="C22" s="19" t="inlineStr">
        <is>
          <t xml:space="preserve">Ön koşul</t>
        </is>
      </c>
      <c r="D22" s="19" t="inlineStr">
        <is>
          <t xml:space="preserve">İki bacakta fiyatların görünmesi</t>
        </is>
      </c>
      <c r="E22" s="19" t="inlineStr">
        <is>
          <t xml:space="preserve">Test çifti seçilmiş; ilgili seans açık.</t>
        </is>
      </c>
      <c r="F22" s="20" t="inlineStr">
        <is>
          <t xml:space="preserve">1. Spot ve vadeli enstrüman adlarını kontrol edin.
2. İki bacağın alış/satış fiyatlarını izleyin.
3. Fiyat alanlarının boş kalmadığını ve piyasadaki değişikliklerin yansıdığını kontrol edin.</t>
        </is>
      </c>
      <c r="G22" s="19" t="inlineStr">
        <is>
          <t xml:space="preserve">İki bacağın fiyatları görünür. Fiyat hareketi olduğunda ekran güncellenir; yalnız sabit fiyat görülmesi kesinti kanıtı sayılmaz.</t>
        </is>
      </c>
      <c r="H22" s="19"/>
      <c r="I22" s="19" t="inlineStr">
        <is>
          <t xml:space="preserve">Takip tablosu ve fiyat ekranı.</t>
        </is>
      </c>
      <c r="J22" s="18" t="s">
        <v>56</v>
      </c>
      <c r="K22" s="18" t="s">
        <v>57</v>
      </c>
      <c r="L22" s="20"/>
      <c r="M22" s="21"/>
    </row>
    <row r="23" spans="1:13" ht="199.5" customHeight="1" x14ac:dyDescent="0.25">
      <c r="A23" s="18" t="s">
        <v>73</v>
      </c>
      <c r="B23" s="18" t="s">
        <v>12</v>
      </c>
      <c r="C23" s="19" t="inlineStr">
        <is>
          <t xml:space="preserve">Ön koşul</t>
        </is>
      </c>
      <c r="D23" s="19" t="inlineStr">
        <is>
          <t xml:space="preserve">Yeni çiftin işlem yapabilmesi</t>
        </is>
      </c>
      <c r="E23" s="19" t="inlineStr">
        <is>
          <t xml:space="preserve">Test hesabında yeni çift kaydedilmiş; başlangıç pozisyonu ve açık emirler biliniyor.</t>
        </is>
      </c>
      <c r="F23" s="20" t="inlineStr">
        <is>
          <t xml:space="preserve">1. Yeni çifti takip tablosunda bulun.
2. A01 adımlarını bu çiftte uygulayın.
3. Gönderilen emrin doğru hesaba ve enstrümana ait olduğunu doğrulayın.</t>
        </is>
      </c>
      <c r="G23" s="19" t="inlineStr">
        <is>
          <t xml:space="preserve">Yeni çift için gönderilen emir doğru hesap ve enstrümanla emir listesinde görünür. A01 aynı çiftte tamamlandıysa kanıtı burada tekrar kullanın.</t>
        </is>
      </c>
      <c r="H23" s="19"/>
      <c r="I23" s="19" t="inlineStr">
        <is>
          <t xml:space="preserve">Takip tablosu ve Emir Geçmişi.</t>
        </is>
      </c>
      <c r="J23" s="18" t="s">
        <v>79</v>
      </c>
      <c r="K23" s="18" t="s">
        <v>57</v>
      </c>
      <c r="L23" s="22"/>
      <c r="M23" s="21"/>
    </row>
    <row r="24" spans="1:13" ht="97.5" customHeight="1" x14ac:dyDescent="0.25">
      <c r="A24" s="17" t="s">
        <v>81</v>
      </c>
      <c r="B24" s="18" t="s">
        <v>12</v>
      </c>
      <c r="C24" s="19" t="inlineStr">
        <is>
          <t xml:space="preserve">Ön koşul</t>
        </is>
      </c>
      <c r="D24" s="19" t="inlineStr">
        <is>
          <t xml:space="preserve">Arbitraj kullanma yetkisi</t>
        </is>
      </c>
      <c r="E24" s="19" t="inlineStr">
        <is>
          <t xml:space="preserve">Yetkili test hesabı hazır; yetkisiz hesap kontrol edilecekse ayrıca hazırlanmış.</t>
        </is>
      </c>
      <c r="F24" s="20" t="inlineStr">
        <is>
          <t xml:space="preserve">1. Yetkili hesapta Arbitraj ekranına ve test çiftine erişin.
2. Hazırsa yetkisiz hesapla aynı işlemi deneyin.
3. Erişim sonucunu ve bildirimi kaydedin.</t>
        </is>
      </c>
      <c r="G24" s="19" t="inlineStr">
        <is>
          <t xml:space="preserve">Yetkili hesap işlemi yapabilir; yetkisiz hesap için erişim/işlem engellenir. İkinci hesap hazırlanmamışsa bu adımı tamamlanmış saymayın.</t>
        </is>
      </c>
      <c r="H24" s="19"/>
      <c r="I24" s="19" t="inlineStr">
        <is>
          <t xml:space="preserve">Arbitraj paneli ve kullanıcı bildirimi.</t>
        </is>
      </c>
      <c r="J24" s="18" t="s">
        <v>87</v>
      </c>
      <c r="K24" s="18" t="s">
        <v>88</v>
      </c>
      <c r="L24" s="22"/>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24"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fRule type="cellIs" dxfId="19" priority="7" operator="equal">
      <formula>"Kısmen"</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COUNTA($A$19:$A$400)</f>
        <v>57</v>
      </c>
      <c r="I2" s="9" t="inlineStr">
        <is>
          <t xml:space="preserve">Test Edilmedi</t>
        </is>
      </c>
      <c r="J2" s="13">
        <f>COUNTIF($B$19:$B$400,"Test Edilmedi")</f>
        <v>37</v>
      </c>
      <c r="K2" s="9" t="inlineStr">
        <is>
          <t xml:space="preserve">Bloke</t>
        </is>
      </c>
      <c r="L2" s="13">
        <f>COUNTIF($B$19:$B$400,"Bloke")</f>
        <v>1</v>
      </c>
    </row>
    <row r="3" spans="1:13" ht="21.75" customHeight="1" x14ac:dyDescent="0.25">
      <c r="A3" s="6"/>
      <c r="B3" s="6"/>
      <c r="C3" s="9" t="s">
        <v>9</v>
      </c>
      <c r="D3" s="10" t="inlineStr">
        <is>
          <t xml:space="preserve">Sanity ve genişletilmiş senaryolar</t>
        </is>
      </c>
      <c r="E3" s="9" t="s">
        <v>11</v>
      </c>
      <c r="F3" s="11"/>
      <c r="G3" s="9" t="s">
        <v>12</v>
      </c>
      <c r="H3" s="13">
        <f>COUNTIF($B$19:$B$400,"Başarılı")</f>
        <v>10</v>
      </c>
      <c r="I3" s="9" t="inlineStr">
        <is>
          <t xml:space="preserve">Test Ediliyor</t>
        </is>
      </c>
      <c r="J3" s="13">
        <f>COUNTIF($B$19:$B$400,"Test Ediliyor")</f>
        <v>3</v>
      </c>
      <c r="K3" s="9" t="inlineStr">
        <is>
          <t xml:space="preserve">Sonuçsuz</t>
        </is>
      </c>
      <c r="L3" s="13">
        <f>COUNTBLANK($B$19:$B$75)</f>
        <v>0</v>
      </c>
    </row>
    <row r="4" spans="1:13" ht="21.75" customHeight="1" x14ac:dyDescent="0.25">
      <c r="A4" s="6"/>
      <c r="B4" s="6"/>
      <c r="C4" s="9" t="inlineStr">
        <is>
          <t xml:space="preserve">Doküman Sürümü:</t>
        </is>
      </c>
      <c r="D4" s="10" t="inlineStr">
        <is>
          <t xml:space="preserve">1.5</t>
        </is>
      </c>
      <c r="E4" s="9" t="s">
        <v>15</v>
      </c>
      <c r="F4" s="11"/>
      <c r="G4" s="9" t="s">
        <v>16</v>
      </c>
      <c r="H4" s="13">
        <f>COUNTIF($B$19:$B$400,"Başarısız")</f>
        <v>1</v>
      </c>
      <c r="I4" s="9" t="inlineStr">
        <is>
          <t xml:space="preserve">Kısmen</t>
        </is>
      </c>
      <c r="J4" s="13">
        <f>COUNTIF($B$19:$B$400,"Kısmen")</f>
        <v>5</v>
      </c>
    </row>
    <row r="6" spans="1:13" ht="42" customHeight="1" x14ac:dyDescent="0.25">
      <c r="A6" s="5" t="s">
        <v>17</v>
      </c>
      <c r="B6" s="5"/>
      <c r="C6" s="4" t="inlineStr">
        <is>
          <t xml:space="preserve">Genel sayfasındaki G01–G05 kontrollerini tamamlayın. RA aşağıdaki örnek ayar setidir. Her testten önce gereken pozisyonu, açık emirleri ve fiyat koşulunu hazırlayın. Önceki senaryoya bağlı testlerde ilgili test kimliğini takip edin.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28 genişletilmiş, 8 karar bekliyor. Üst özetler sayfanın tüm kayıtlarını gösterir.</t>
        </is>
      </c>
      <c r="D7" s="4"/>
      <c r="E7" s="4"/>
      <c r="F7" s="4"/>
      <c r="G7" s="4"/>
      <c r="H7" s="4"/>
    </row>
    <row r="8" spans="1:13" ht="45" customHeight="1" x14ac:dyDescent="0.25">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inlineStr">
        <is>
          <t xml:space="preserve">Takip tablosu, Arbitraj Hareketleri, Paket Hareketleri, Pasif Emirler ve Emir Geçmişi birlikte kullanılır. Emir gönderilmesi, gerçekleşmesi ve pozisyon güncellemesi ayrı ayrı kontrol edilir.</t>
        </is>
      </c>
      <c r="D14" s="1"/>
      <c r="E14" s="1"/>
      <c r="F14" s="1"/>
      <c r="G14" s="1"/>
      <c r="H14" s="1"/>
      <c r="I14" s="1"/>
      <c r="J14" s="1"/>
      <c r="K14" s="1"/>
      <c r="L14" s="1"/>
      <c r="M14" s="1"/>
    </row>
    <row r="15" spans="1:13" ht="30" customHeight="1" x14ac:dyDescent="0.25">
      <c r="A15" s="2" t="inlineStr">
        <is>
          <t xml:space="preserve">Test verisi</t>
        </is>
      </c>
      <c r="B15" s="2"/>
      <c r="C15" s="1" t="inlineStr">
        <is>
          <t xml:space="preserve">Not alanına hesap, çift, vade, başlangıç pozisyonu, açık emirler, referans fiyatlar ve RA değişikliklerini yazın. Fiyat/gerçekleşme koşulu hazırlanamazsa Bloke seçin. Her senaryo sonunda emir, paket ve pozisyonları kontrol edin.</t>
        </is>
      </c>
      <c r="D15" s="1"/>
      <c r="E15" s="1"/>
      <c r="F15" s="1"/>
      <c r="G15" s="1"/>
      <c r="H15" s="1"/>
      <c r="I15" s="1"/>
      <c r="J15" s="1"/>
      <c r="K15" s="1"/>
      <c r="L15" s="1"/>
      <c r="M15" s="1"/>
    </row>
    <row r="18" spans="1:13" ht="25.5" customHeight="1" x14ac:dyDescent="0.25">
      <c r="A18" s="16" t="s">
        <v>36</v>
      </c>
      <c r="B18" s="16" t="s">
        <v>37</v>
      </c>
      <c r="C18" s="16" t="inlineStr">
        <is>
          <t xml:space="preserve">Test Kapsamı</t>
        </is>
      </c>
      <c r="D18" s="16" t="s">
        <v>39</v>
      </c>
      <c r="E18" s="16" t="s">
        <v>40</v>
      </c>
      <c r="F18" s="16" t="s">
        <v>41</v>
      </c>
      <c r="G18" s="16" t="s">
        <v>42</v>
      </c>
      <c r="H18" s="16" t="s">
        <v>43</v>
      </c>
      <c r="I18" s="16" t="inlineStr">
        <is>
          <t xml:space="preserve">Kontrol Edilecek Ekran</t>
        </is>
      </c>
      <c r="J18" s="16" t="s">
        <v>45</v>
      </c>
      <c r="K18" s="16" t="s">
        <v>46</v>
      </c>
      <c r="L18" s="16" t="inlineStr">
        <is>
          <t xml:space="preserve">Not / Test Kaydı</t>
        </is>
      </c>
      <c r="M18" s="16" t="s">
        <v>48</v>
      </c>
    </row>
    <row r="19" spans="1:13" x14ac:dyDescent="0.25" ht="112.0" customHeight="1">
      <c r="A19" s="17" t="s">
        <v>103</v>
      </c>
      <c r="B19" s="18" t="s">
        <v>12</v>
      </c>
      <c r="C19" s="19" t="inlineStr">
        <is>
          <t xml:space="preserve">Ana sanity</t>
        </is>
      </c>
      <c r="D19" s="19" t="s">
        <v>105</v>
      </c>
      <c r="E19" s="20" t="s">
        <v>879</v>
      </c>
      <c r="F19" s="20" t="inlineStr">
        <is>
          <t xml:space="preserve">1. RA ayarlarını kaydedin. Spot/vadeli fiyatları ve bu çift için önceden hesaplanan beklenen açılış fiyatını not edin.
2. Stratejiyi başlatın; Pasif Emirler panelinde vadeli emri bulun.
3. Yönü, miktarı ve fiyatı beklenen değerle karşılaştırın.
4. Vadeli emir henüz gerçekleşmemişken spot emir gönderilmediğini kontrol edin.</t>
        </is>
      </c>
      <c r="G19" s="20" t="s">
        <v>108</v>
      </c>
      <c r="H19" s="19" t="s">
        <v>829</v>
      </c>
      <c r="I19" s="19" t="inlineStr">
        <is>
          <t xml:space="preserve">Takip tablosu, Pasif Emirler, Emir Geçmişi ve ilgili işlem ekranı.</t>
        </is>
      </c>
      <c r="J19" s="18" t="s">
        <v>79</v>
      </c>
      <c r="K19" s="18" t="s">
        <v>57</v>
      </c>
      <c r="L19" s="20" t="inlineStr">
        <is>
          <t xml:space="preserve">RA fiyat hesabı: Spot en iyi satış × (1 + 35 / 100 × gün / 365), geçerli fiyat adımına göre. Kullanılan takas gününü D03 ile kontrol edin; beklenen fiyatı emir sonucundan almayın.</t>
        </is>
      </c>
      <c r="M19" s="21"/>
    </row>
    <row r="20" spans="1:13" ht="111.75" customHeight="1" x14ac:dyDescent="0.25">
      <c r="A20" s="17" t="s">
        <v>110</v>
      </c>
      <c r="B20" s="18" t="s">
        <v>12</v>
      </c>
      <c r="C20" s="19" t="inlineStr">
        <is>
          <t xml:space="preserve">Ana sanity</t>
        </is>
      </c>
      <c r="D20" s="19" t="s">
        <v>111</v>
      </c>
      <c r="E20" s="20" t="s">
        <v>112</v>
      </c>
      <c r="F20" s="20" t="s">
        <v>113</v>
      </c>
      <c r="G20" s="20" t="inlineStr">
        <is>
          <t xml:space="preserve">Spot fiyatındaki değişiklik beklenen vadeli emir fiyatını değiştirdiğinde pasif emir yeni fiyata güncellenir; aynı işlem için fazladan açık emir oluşmaz.</t>
        </is>
      </c>
      <c r="H20" s="19" t="inlineStr">
        <is>
          <t xml:space="preserve">Vadelide pasifte bekleyen emir spot değişimine göre anlık fiyatı güncelleniyor. </t>
        </is>
      </c>
      <c r="I20" s="19" t="inlineStr">
        <is>
          <t xml:space="preserve">Takip tablosu, Pasif Emirler, Emir Geçmişi ve ilgili işlem ekranı.</t>
        </is>
      </c>
      <c r="J20" s="18" t="s">
        <v>79</v>
      </c>
      <c r="K20" s="18" t="s">
        <v>57</v>
      </c>
      <c r="L20" s="20" t="inlineStr">
        <is>
          <t xml:space="preserve">Fiyat değiştirme geçmişinin sayfa yenilendiğinde yeniden yüklenmemesi bilinen ürün tercihidir; bu test yalnız emir fiyatının güncellenmesini kontrol eder.</t>
        </is>
      </c>
      <c r="M20" s="21"/>
    </row>
    <row r="21" spans="1:13" x14ac:dyDescent="0.25" ht="138.0" customHeight="1">
      <c r="A21" s="17" t="s">
        <v>116</v>
      </c>
      <c r="B21" s="18" t="s">
        <v>12</v>
      </c>
      <c r="C21" s="19" t="inlineStr">
        <is>
          <t xml:space="preserve">Ana sanity</t>
        </is>
      </c>
      <c r="D21" s="19" t="s">
        <v>117</v>
      </c>
      <c r="E21" s="20" t="s">
        <v>118</v>
      </c>
      <c r="F21" s="20" t="s">
        <v>119</v>
      </c>
      <c r="G21" s="20" t="inlineStr">
        <is>
          <t xml:space="preserve">RA örneğinde 1 vadeli kontrat gerçekleşince 100 lot spot alış emri gönderilir. Spot emir gerçekleşince paketin iki bacağı tamamlanır; Paket Hareketleri ve pozisyon miktarları uyumlu olur. Spot emrin gönderilmesini gerçekleşme olarak kabul etmeyin.</t>
        </is>
      </c>
      <c r="H21" s="19" t="s">
        <v>833</v>
      </c>
      <c r="I21" s="19" t="inlineStr">
        <is>
          <t xml:space="preserve">Takip tablosu, Pasif Emirler, Emir Geçmişi ve ilgili işlem ekranı.</t>
        </is>
      </c>
      <c r="J21" s="18" t="s">
        <v>79</v>
      </c>
      <c r="K21" s="18" t="s">
        <v>57</v>
      </c>
      <c r="L21" s="20"/>
      <c r="M21" s="21"/>
    </row>
    <row r="22" spans="1:13" ht="73.5" customHeight="1" x14ac:dyDescent="0.25">
      <c r="A22" s="17" t="s">
        <v>122</v>
      </c>
      <c r="B22" s="18" t="s">
        <v>12</v>
      </c>
      <c r="C22" s="19" t="inlineStr">
        <is>
          <t xml:space="preserve">Ana sanity</t>
        </is>
      </c>
      <c r="D22" s="19" t="s">
        <v>123</v>
      </c>
      <c r="E22" s="20" t="s">
        <v>124</v>
      </c>
      <c r="F22" s="20" t="s">
        <v>125</v>
      </c>
      <c r="G22" s="20" t="s">
        <v>126</v>
      </c>
      <c r="H22" s="19" t="s">
        <v>834</v>
      </c>
      <c r="I22" s="19" t="inlineStr">
        <is>
          <t xml:space="preserve">Takip tablosu, Pasif Emirler, Emir Geçmişi ve ilgili işlem ekranı.</t>
        </is>
      </c>
      <c r="J22" s="18" t="s">
        <v>79</v>
      </c>
      <c r="K22" s="18" t="s">
        <v>57</v>
      </c>
      <c r="L22" s="20"/>
      <c r="M22" s="21"/>
    </row>
    <row r="23" spans="1:13" ht="86.25" customHeight="1" x14ac:dyDescent="0.25">
      <c r="A23" s="17" t="s">
        <v>128</v>
      </c>
      <c r="B23" s="18" t="s">
        <v>12</v>
      </c>
      <c r="C23" s="19" t="inlineStr">
        <is>
          <t xml:space="preserve">Ana sanity</t>
        </is>
      </c>
      <c r="D23" s="19" t="s">
        <v>129</v>
      </c>
      <c r="E23" s="20" t="s">
        <v>130</v>
      </c>
      <c r="F23" s="20" t="s">
        <v>131</v>
      </c>
      <c r="G23" s="20" t="s">
        <v>132</v>
      </c>
      <c r="H23" s="19" t="s">
        <v>837</v>
      </c>
      <c r="I23" s="19" t="inlineStr">
        <is>
          <t xml:space="preserve">Takip tablosu, Pasif Emirler, Emir Geçmişi ve ilgili işlem ekranı.</t>
        </is>
      </c>
      <c r="J23" s="18" t="s">
        <v>79</v>
      </c>
      <c r="K23" s="18" t="s">
        <v>57</v>
      </c>
      <c r="L23" s="20"/>
      <c r="M23" s="21"/>
    </row>
    <row r="24" spans="1:13" ht="124.5" customHeight="1" x14ac:dyDescent="0.25">
      <c r="A24" s="17" t="s">
        <v>134</v>
      </c>
      <c r="B24" s="18" t="s">
        <v>12</v>
      </c>
      <c r="C24" s="19" t="inlineStr">
        <is>
          <t xml:space="preserve">Ana sanity</t>
        </is>
      </c>
      <c r="D24" s="19" t="s">
        <v>135</v>
      </c>
      <c r="E24" s="20" t="s">
        <v>136</v>
      </c>
      <c r="F24" s="20" t="inlineStr">
        <is>
          <t xml:space="preserve">1. Açık paketi ve kapanış için bekleyen vadeli alış emrini bulun.
2. Emir fiyatını, %29 kapanış faizi için önceden hesaplanan fiyatla karşılaştırın.
3. Vadeli kapanış gerçekleşince 100 lot spot satış emrini takip edin.
4. Spot kapanış gerçekleşince paket durumunu, K.P. ve pozisyon miktarlarını kontrol edin.</t>
        </is>
      </c>
      <c r="G24" s="20" t="s">
        <v>138</v>
      </c>
      <c r="H24" s="19" t="s">
        <v>839</v>
      </c>
      <c r="I24" s="19" t="inlineStr">
        <is>
          <t xml:space="preserve">Takip tablosu, Pasif Emirler, Emir Geçmişi ve ilgili işlem ekranı.</t>
        </is>
      </c>
      <c r="J24" s="18" t="s">
        <v>79</v>
      </c>
      <c r="K24" s="18" t="s">
        <v>57</v>
      </c>
      <c r="L24" s="20"/>
      <c r="M24" s="21"/>
    </row>
    <row r="25" spans="1:13" ht="99" customHeight="1" x14ac:dyDescent="0.25">
      <c r="A25" s="17" t="s">
        <v>140</v>
      </c>
      <c r="B25" s="18" t="inlineStr">
        <is>
          <t xml:space="preserve">Kısmen</t>
        </is>
      </c>
      <c r="C25" s="19" t="inlineStr">
        <is>
          <t xml:space="preserve">Genişletilmiş</t>
        </is>
      </c>
      <c r="D25" s="19" t="s">
        <v>141</v>
      </c>
      <c r="E25" s="20" t="s">
        <v>142</v>
      </c>
      <c r="F25" s="20" t="s">
        <v>143</v>
      </c>
      <c r="G25" s="20" t="s">
        <v>144</v>
      </c>
      <c r="H25" s="19" t="s">
        <v>841</v>
      </c>
      <c r="I25" s="19" t="inlineStr">
        <is>
          <t xml:space="preserve">Takip tablosu, Pasif Emirler, Emir Geçmişi ve ilgili işlem ekranı.</t>
        </is>
      </c>
      <c r="J25" s="18" t="s">
        <v>79</v>
      </c>
      <c r="K25" s="18" t="s">
        <v>57</v>
      </c>
      <c r="L25" s="20" t="inlineStr">
        <is>
          <t xml:space="preserve">Önceki gözlem: bir paket kapandıktan sonra yeni açılış yapılmış. Bekleyen: K.P.=2 sınırı ve durdur/başlat sonrasında sayacın korunması.</t>
        </is>
      </c>
      <c r="M25" s="21"/>
    </row>
    <row r="26" spans="1:13" x14ac:dyDescent="0.25" ht="112.0" customHeight="1">
      <c r="A26" s="17" t="s">
        <v>146</v>
      </c>
      <c r="B26" s="18" t="s">
        <v>490</v>
      </c>
      <c r="C26" s="19" t="inlineStr">
        <is>
          <t xml:space="preserve">Ana sanity</t>
        </is>
      </c>
      <c r="D26" s="19" t="inlineStr">
        <is>
          <t xml:space="preserve">Stop-loss: spot emrinin süre sonunda karşı en iyi fiyata taşınması</t>
        </is>
      </c>
      <c r="E26" s="20" t="s">
        <v>148</v>
      </c>
      <c r="F26" s="20" t="s">
        <v>149</v>
      </c>
      <c r="G26" s="20" t="inlineStr">
        <is>
          <t xml:space="preserve">Spot emir 300 saniye boyunca gerçekleşmezse karşı taraftaki en iyi fiyata taşınır; günlük limit emir olarak kalır. Gerçekleşirse paket tamamlanır; fiyatın taşınması tek başına gerçekleşme değildir.</t>
        </is>
      </c>
      <c r="H26" s="19"/>
      <c r="I26" s="19" t="inlineStr">
        <is>
          <t xml:space="preserve">Takip tablosu, Pasif Emirler, Emir Geçmişi ve ilgili işlem ekranı.</t>
        </is>
      </c>
      <c r="J26" s="18" t="s">
        <v>79</v>
      </c>
      <c r="K26" s="18" t="s">
        <v>57</v>
      </c>
      <c r="L26" s="20"/>
      <c r="M26" s="21"/>
    </row>
    <row r="27" spans="1:13" ht="86.25" customHeight="1" x14ac:dyDescent="0.25">
      <c r="A27" s="17" t="s">
        <v>152</v>
      </c>
      <c r="B27" s="18" t="s">
        <v>490</v>
      </c>
      <c r="C27" s="19" t="inlineStr">
        <is>
          <t xml:space="preserve">Genişletilmiş</t>
        </is>
      </c>
      <c r="D27" s="19" t="s">
        <v>153</v>
      </c>
      <c r="E27" s="20" t="s">
        <v>154</v>
      </c>
      <c r="F27" s="20" t="s">
        <v>155</v>
      </c>
      <c r="G27" s="20" t="inlineStr">
        <is>
          <t xml:space="preserve">Süre koşulu henüz oluşmamışken fark 3 kademede kalırsa emir bekler; 4 kademe veya üzerine çıktığında karşı en iyi fiyata taşınır. Gerçekleşme ayrıca kontrol edilir.</t>
        </is>
      </c>
      <c r="H27" s="19"/>
      <c r="I27" s="19" t="inlineStr">
        <is>
          <t xml:space="preserve">Takip tablosu, Pasif Emirler, Emir Geçmişi ve ilgili işlem ekranı.</t>
        </is>
      </c>
      <c r="J27" s="18" t="s">
        <v>79</v>
      </c>
      <c r="K27" s="18" t="s">
        <v>57</v>
      </c>
      <c r="L27" s="20"/>
      <c r="M27" s="21"/>
    </row>
    <row r="28" spans="1:13" x14ac:dyDescent="0.25" ht="138.0" customHeight="1">
      <c r="A28" s="17" t="s">
        <v>158</v>
      </c>
      <c r="B28" s="18" t="s">
        <v>916</v>
      </c>
      <c r="C28" s="19" t="inlineStr">
        <is>
          <t xml:space="preserve">Ana sanity</t>
        </is>
      </c>
      <c r="D28" s="19" t="s">
        <v>159</v>
      </c>
      <c r="E28" s="20" t="s">
        <v>160</v>
      </c>
      <c r="F28" s="20" t="s">
        <v>161</v>
      </c>
      <c r="G28" s="20" t="s">
        <v>162</v>
      </c>
      <c r="H28" s="19"/>
      <c r="I28" s="19" t="inlineStr">
        <is>
          <t xml:space="preserve">Takip tablosu, Pasif Emirler, Emir Geçmişi ve ilgili işlem ekranı.</t>
        </is>
      </c>
      <c r="J28" s="18" t="s">
        <v>79</v>
      </c>
      <c r="K28" s="18" t="s">
        <v>57</v>
      </c>
      <c r="L28" s="20"/>
      <c r="M28" s="21"/>
    </row>
    <row r="29" spans="1:13" ht="111.75" customHeight="1" x14ac:dyDescent="0.25">
      <c r="A29" s="17" t="s">
        <v>164</v>
      </c>
      <c r="B29" s="18" t="s">
        <v>490</v>
      </c>
      <c r="C29" s="19" t="inlineStr">
        <is>
          <t xml:space="preserve">Genişletilmiş</t>
        </is>
      </c>
      <c r="D29" s="19" t="s">
        <v>165</v>
      </c>
      <c r="E29" s="20" t="s">
        <v>166</v>
      </c>
      <c r="F29" s="20" t="inlineStr">
        <is>
          <t xml:space="preserve">1. Referans başlangıç saatinden önce stratejiyi başlatın.
2. Başlangıç öncesi ve sonrası çalışma durumunu ve emirleri izleyin.
3. Saatleri ve ekran görüntülerini kaydedin.</t>
        </is>
      </c>
      <c r="G29" s="20" t="s">
        <v>168</v>
      </c>
      <c r="H29" s="19"/>
      <c r="I29" s="19" t="inlineStr">
        <is>
          <t xml:space="preserve">Takip tablosu, Pasif Emirler, Emir Geçmişi ve ilgili işlem ekranı.</t>
        </is>
      </c>
      <c r="J29" s="18" t="s">
        <v>79</v>
      </c>
      <c r="K29" s="18" t="s">
        <v>57</v>
      </c>
      <c r="L29" s="20" t="inlineStr">
        <is>
          <t xml:space="preserve">Seans başlangıcı ile kullanıcı tarafından girilen başlangıç saati ayrı koşullardır. Saat davranışının ayrıntılı kontrolü R02 içindedir.</t>
        </is>
      </c>
      <c r="M29" s="21"/>
    </row>
    <row r="30" spans="1:13" ht="99" customHeight="1" x14ac:dyDescent="0.25">
      <c r="A30" s="17" t="s">
        <v>170</v>
      </c>
      <c r="B30" s="18" t="s">
        <v>490</v>
      </c>
      <c r="C30" s="19" t="inlineStr">
        <is>
          <t xml:space="preserve">Ana sanity</t>
        </is>
      </c>
      <c r="D30" s="19" t="s">
        <v>171</v>
      </c>
      <c r="E30" s="20" t="s">
        <v>172</v>
      </c>
      <c r="F30" s="20" t="s">
        <v>173</v>
      </c>
      <c r="G30" s="20" t="s">
        <v>174</v>
      </c>
      <c r="H30" s="19"/>
      <c r="I30" s="19" t="inlineStr">
        <is>
          <t xml:space="preserve">Takip tablosu, Pasif Emirler, Emir Geçmişi ve ilgili işlem ekranı.</t>
        </is>
      </c>
      <c r="J30" s="18" t="s">
        <v>79</v>
      </c>
      <c r="K30" s="18" t="s">
        <v>57</v>
      </c>
      <c r="L30" s="20" t="inlineStr">
        <is>
          <t xml:space="preserve">Spot bacakta tamamlanmamış paket varsa ayrıca R03 uygulanır. Durdurma, açık pozisyonun kapatılması anlamına gelmez.</t>
        </is>
      </c>
      <c r="M30" s="21"/>
    </row>
    <row r="31" spans="1:13" ht="73.5" customHeight="1" x14ac:dyDescent="0.25">
      <c r="A31" s="17" t="s">
        <v>176</v>
      </c>
      <c r="B31" s="18" t="s">
        <v>12</v>
      </c>
      <c r="C31" s="19" t="inlineStr">
        <is>
          <t xml:space="preserve">Ana sanity</t>
        </is>
      </c>
      <c r="D31" s="19" t="s">
        <v>177</v>
      </c>
      <c r="E31" s="20" t="s">
        <v>178</v>
      </c>
      <c r="F31" s="20" t="s">
        <v>179</v>
      </c>
      <c r="G31" s="20" t="s">
        <v>180</v>
      </c>
      <c r="H31" s="19" t="s">
        <v>847</v>
      </c>
      <c r="I31" s="19" t="inlineStr">
        <is>
          <t xml:space="preserve">Takip tablosu, Pasif Emirler, Emir Geçmişi ve ilgili işlem ekranı.</t>
        </is>
      </c>
      <c r="J31" s="18" t="s">
        <v>79</v>
      </c>
      <c r="K31" s="18" t="s">
        <v>88</v>
      </c>
      <c r="L31" s="20"/>
      <c r="M31" s="21"/>
    </row>
    <row r="32" spans="1:13" x14ac:dyDescent="0.25" ht="125.0" customHeight="1">
      <c r="A32" s="17" t="s">
        <v>182</v>
      </c>
      <c r="B32" s="18" t="s">
        <v>917</v>
      </c>
      <c r="C32" s="19" t="inlineStr">
        <is>
          <t xml:space="preserve">Ana sanity</t>
        </is>
      </c>
      <c r="D32" s="19" t="s">
        <v>184</v>
      </c>
      <c r="E32" s="20" t="s">
        <v>185</v>
      </c>
      <c r="F32" s="20" t="s">
        <v>186</v>
      </c>
      <c r="G32" s="20" t="s">
        <v>187</v>
      </c>
      <c r="H32" s="19"/>
      <c r="I32" s="19" t="inlineStr">
        <is>
          <t xml:space="preserve">Takip tablosu, Pasif Emirler, Emir Geçmişi ve ilgili işlem ekranı.</t>
        </is>
      </c>
      <c r="J32" s="18" t="s">
        <v>79</v>
      </c>
      <c r="K32" s="18" t="s">
        <v>57</v>
      </c>
      <c r="L32" s="20"/>
      <c r="M32" s="21"/>
    </row>
    <row r="33" spans="1:13" x14ac:dyDescent="0.25" ht="216.0" customHeight="1">
      <c r="A33" s="17" t="s">
        <v>189</v>
      </c>
      <c r="B33" s="18" t="s">
        <v>918</v>
      </c>
      <c r="C33" s="19" t="inlineStr">
        <is>
          <t xml:space="preserve">Genişletilmiş</t>
        </is>
      </c>
      <c r="D33" s="19" t="s">
        <v>190</v>
      </c>
      <c r="E33" s="20" t="s">
        <v>191</v>
      </c>
      <c r="F33" s="20" t="s">
        <v>192</v>
      </c>
      <c r="G33" s="20" t="s">
        <v>193</v>
      </c>
      <c r="H33" s="19"/>
      <c r="I33" s="19" t="inlineStr">
        <is>
          <t xml:space="preserve">Takip tablosu, Pasif Emirler, Emir Geçmişi ve ilgili işlem ekranı.</t>
        </is>
      </c>
      <c r="J33" s="18" t="s">
        <v>79</v>
      </c>
      <c r="K33" s="18" t="s">
        <v>57</v>
      </c>
      <c r="L33" s="20"/>
      <c r="M33" s="21"/>
    </row>
    <row r="34" spans="1:13" ht="86.25" customHeight="1" x14ac:dyDescent="0.25">
      <c r="A34" s="17" t="s">
        <v>195</v>
      </c>
      <c r="B34" s="18" t="s">
        <v>919</v>
      </c>
      <c r="C34" s="19" t="inlineStr">
        <is>
          <t xml:space="preserve">Genişletilmiş</t>
        </is>
      </c>
      <c r="D34" s="19" t="s">
        <v>196</v>
      </c>
      <c r="E34" s="20" t="s">
        <v>197</v>
      </c>
      <c r="F34" s="20" t="s">
        <v>198</v>
      </c>
      <c r="G34" s="20" t="s">
        <v>199</v>
      </c>
      <c r="H34" s="19"/>
      <c r="I34" s="19" t="inlineStr">
        <is>
          <t xml:space="preserve">Takip tablosu, Pasif Emirler, Emir Geçmişi ve ilgili işlem ekranı.</t>
        </is>
      </c>
      <c r="J34" s="18" t="s">
        <v>79</v>
      </c>
      <c r="K34" s="18" t="s">
        <v>88</v>
      </c>
      <c r="L34" s="20"/>
      <c r="M34" s="21"/>
    </row>
    <row r="35" spans="1:13" ht="86.25" customHeight="1" x14ac:dyDescent="0.25">
      <c r="A35" s="17" t="s">
        <v>202</v>
      </c>
      <c r="B35" s="18" t="s">
        <v>920</v>
      </c>
      <c r="C35" s="19" t="inlineStr">
        <is>
          <t xml:space="preserve">Ana sanity</t>
        </is>
      </c>
      <c r="D35" s="19" t="s">
        <v>203</v>
      </c>
      <c r="E35" s="20" t="s">
        <v>204</v>
      </c>
      <c r="F35" s="20" t="s">
        <v>205</v>
      </c>
      <c r="G35" s="20" t="s">
        <v>206</v>
      </c>
      <c r="H35" s="19"/>
      <c r="I35" s="19" t="inlineStr">
        <is>
          <t xml:space="preserve">Takip tablosu, Pasif Emirler, Emir Geçmişi ve ilgili işlem ekranı.</t>
        </is>
      </c>
      <c r="J35" s="18" t="s">
        <v>79</v>
      </c>
      <c r="K35" s="18" t="s">
        <v>57</v>
      </c>
      <c r="L35" s="20"/>
      <c r="M35" s="21"/>
    </row>
    <row r="36" spans="1:13" ht="73.5" customHeight="1" x14ac:dyDescent="0.25">
      <c r="A36" s="17" t="s">
        <v>209</v>
      </c>
      <c r="B36" s="18" t="s">
        <v>921</v>
      </c>
      <c r="C36" s="19" t="inlineStr">
        <is>
          <t xml:space="preserve">Ana sanity</t>
        </is>
      </c>
      <c r="D36" s="19" t="s">
        <v>210</v>
      </c>
      <c r="E36" s="20" t="s">
        <v>211</v>
      </c>
      <c r="F36" s="20" t="s">
        <v>212</v>
      </c>
      <c r="G36" s="20" t="s">
        <v>213</v>
      </c>
      <c r="H36" s="19"/>
      <c r="I36" s="19" t="inlineStr">
        <is>
          <t xml:space="preserve">Takip tablosu, Pasif Emirler, Emir Geçmişi ve ilgili işlem ekranı.</t>
        </is>
      </c>
      <c r="J36" s="18" t="s">
        <v>79</v>
      </c>
      <c r="K36" s="18" t="s">
        <v>88</v>
      </c>
      <c r="L36" s="20"/>
      <c r="M36" s="21"/>
    </row>
    <row r="37" spans="1:13" x14ac:dyDescent="0.25" ht="164.0" customHeight="1">
      <c r="A37" s="17" t="s">
        <v>216</v>
      </c>
      <c r="B37" s="18" t="s">
        <v>490</v>
      </c>
      <c r="C37" s="19" t="inlineStr">
        <is>
          <t xml:space="preserve">Ana sanity</t>
        </is>
      </c>
      <c r="D37" s="19" t="inlineStr">
        <is>
          <t xml:space="preserve">Stop-loss Aktif: spot emrinin karşı en iyi fiyattan günlük limit gönderilmesi</t>
        </is>
      </c>
      <c r="E37" s="20" t="s">
        <v>218</v>
      </c>
      <c r="F37" s="20" t="s">
        <v>219</v>
      </c>
      <c r="G37" s="20" t="s">
        <v>894</v>
      </c>
      <c r="H37" s="19"/>
      <c r="I37" s="19" t="inlineStr">
        <is>
          <t xml:space="preserve">Takip tablosu, Pasif Emirler, Emir Geçmişi ve ilgili işlem ekranı.</t>
        </is>
      </c>
      <c r="J37" s="18" t="s">
        <v>79</v>
      </c>
      <c r="K37" s="18" t="s">
        <v>88</v>
      </c>
      <c r="L37" s="20"/>
      <c r="M37" s="21"/>
    </row>
    <row r="38" spans="1:13" ht="48" customHeight="1" x14ac:dyDescent="0.25">
      <c r="A38" s="17" t="s">
        <v>223</v>
      </c>
      <c r="B38" s="18" t="s">
        <v>490</v>
      </c>
      <c r="C38" s="19" t="inlineStr">
        <is>
          <t xml:space="preserve">Genişletilmiş</t>
        </is>
      </c>
      <c r="D38" s="19" t="s">
        <v>224</v>
      </c>
      <c r="E38" s="20" t="s">
        <v>225</v>
      </c>
      <c r="F38" s="20" t="s">
        <v>226</v>
      </c>
      <c r="G38" s="20" t="s">
        <v>227</v>
      </c>
      <c r="H38" s="19"/>
      <c r="I38" s="19" t="inlineStr">
        <is>
          <t xml:space="preserve">Takip tablosu, Pasif Emirler, Emir Geçmişi ve ilgili işlem ekranı.</t>
        </is>
      </c>
      <c r="J38" s="18" t="s">
        <v>79</v>
      </c>
      <c r="K38" s="18" t="s">
        <v>88</v>
      </c>
      <c r="L38" s="20"/>
      <c r="M38" s="21"/>
    </row>
    <row r="39" spans="1:13" ht="73.5" customHeight="1" x14ac:dyDescent="0.25">
      <c r="A39" s="17" t="s">
        <v>230</v>
      </c>
      <c r="B39" s="18" t="s">
        <v>922</v>
      </c>
      <c r="C39" s="19" t="inlineStr">
        <is>
          <t xml:space="preserve">Genişletilmiş</t>
        </is>
      </c>
      <c r="D39" s="19" t="s">
        <v>231</v>
      </c>
      <c r="E39" s="20" t="s">
        <v>232</v>
      </c>
      <c r="F39" s="20" t="s">
        <v>233</v>
      </c>
      <c r="G39" s="20" t="s">
        <v>234</v>
      </c>
      <c r="H39" s="19"/>
      <c r="I39" s="19" t="inlineStr">
        <is>
          <t xml:space="preserve">Takip tablosu, Pasif Emirler, Emir Geçmişi ve ilgili işlem ekranı.</t>
        </is>
      </c>
      <c r="J39" s="18" t="s">
        <v>79</v>
      </c>
      <c r="K39" s="18" t="s">
        <v>88</v>
      </c>
      <c r="L39" s="20"/>
      <c r="M39" s="21"/>
    </row>
    <row r="40" spans="1:13" ht="124.5" customHeight="1" x14ac:dyDescent="0.25">
      <c r="A40" s="17" t="s">
        <v>237</v>
      </c>
      <c r="B40" s="18" t="s">
        <v>923</v>
      </c>
      <c r="C40" s="19" t="inlineStr">
        <is>
          <t xml:space="preserve">Genişletilmiş</t>
        </is>
      </c>
      <c r="D40" s="19" t="s">
        <v>238</v>
      </c>
      <c r="E40" s="20" t="s">
        <v>239</v>
      </c>
      <c r="F40" s="20" t="s">
        <v>240</v>
      </c>
      <c r="G40" s="20" t="s">
        <v>241</v>
      </c>
      <c r="H40" s="19"/>
      <c r="I40" s="19" t="inlineStr">
        <is>
          <t xml:space="preserve">Takip tablosu, Pasif Emirler, Emir Geçmişi ve ilgili işlem ekranı.</t>
        </is>
      </c>
      <c r="J40" s="18" t="s">
        <v>79</v>
      </c>
      <c r="K40" s="18" t="s">
        <v>88</v>
      </c>
      <c r="L40" s="20"/>
      <c r="M40" s="21"/>
    </row>
    <row r="41" spans="1:13" x14ac:dyDescent="0.25" ht="112.0" customHeight="1">
      <c r="A41" s="17" t="s">
        <v>244</v>
      </c>
      <c r="B41" s="18" t="s">
        <v>490</v>
      </c>
      <c r="C41" s="19" t="inlineStr">
        <is>
          <t xml:space="preserve">Genişletilmiş</t>
        </is>
      </c>
      <c r="D41" s="19" t="s">
        <v>245</v>
      </c>
      <c r="E41" s="20" t="s">
        <v>246</v>
      </c>
      <c r="F41" s="20" t="s">
        <v>247</v>
      </c>
      <c r="G41" s="20" t="s">
        <v>248</v>
      </c>
      <c r="H41" s="19"/>
      <c r="I41" s="19" t="inlineStr">
        <is>
          <t xml:space="preserve">Takip tablosu, Pasif Emirler, Emir Geçmişi ve ilgili işlem ekranı.</t>
        </is>
      </c>
      <c r="J41" s="18" t="s">
        <v>79</v>
      </c>
      <c r="K41" s="18" t="s">
        <v>57</v>
      </c>
      <c r="L41" s="20"/>
      <c r="M41" s="21"/>
    </row>
    <row r="42" spans="1:13" ht="99" customHeight="1" x14ac:dyDescent="0.25">
      <c r="A42" s="17" t="s">
        <v>251</v>
      </c>
      <c r="B42" s="18" t="s">
        <v>490</v>
      </c>
      <c r="C42" s="19" t="inlineStr">
        <is>
          <t xml:space="preserve">Genişletilmiş</t>
        </is>
      </c>
      <c r="D42" s="19" t="s">
        <v>252</v>
      </c>
      <c r="E42" s="20" t="s">
        <v>253</v>
      </c>
      <c r="F42" s="20" t="s">
        <v>254</v>
      </c>
      <c r="G42" s="20" t="s">
        <v>255</v>
      </c>
      <c r="H42" s="19"/>
      <c r="I42" s="19" t="inlineStr">
        <is>
          <t xml:space="preserve">Takip tablosu, Pasif Emirler, Emir Geçmişi ve ilgili işlem ekranı.</t>
        </is>
      </c>
      <c r="J42" s="18" t="s">
        <v>79</v>
      </c>
      <c r="K42" s="18" t="s">
        <v>57</v>
      </c>
      <c r="L42" s="20"/>
      <c r="M42" s="21"/>
    </row>
    <row r="43" spans="1:13" ht="73.5" customHeight="1" x14ac:dyDescent="0.25">
      <c r="A43" s="17" t="s">
        <v>258</v>
      </c>
      <c r="B43" s="18" t="s">
        <v>490</v>
      </c>
      <c r="C43" s="19" t="inlineStr">
        <is>
          <t xml:space="preserve">Genişletilmiş</t>
        </is>
      </c>
      <c r="D43" s="19" t="s">
        <v>259</v>
      </c>
      <c r="E43" s="20" t="s">
        <v>260</v>
      </c>
      <c r="F43" s="20" t="s">
        <v>261</v>
      </c>
      <c r="G43" s="20" t="s">
        <v>262</v>
      </c>
      <c r="H43" s="19"/>
      <c r="I43" s="19" t="inlineStr">
        <is>
          <t xml:space="preserve">Takip tablosu, Pasif Emirler, Emir Geçmişi ve ilgili işlem ekranı.</t>
        </is>
      </c>
      <c r="J43" s="18" t="s">
        <v>79</v>
      </c>
      <c r="K43" s="18" t="s">
        <v>88</v>
      </c>
      <c r="L43" s="20"/>
      <c r="M43" s="21"/>
    </row>
    <row r="44" spans="1:13" ht="48" customHeight="1" x14ac:dyDescent="0.25">
      <c r="A44" s="17" t="s">
        <v>265</v>
      </c>
      <c r="B44" s="18" t="s">
        <v>490</v>
      </c>
      <c r="C44" s="19" t="inlineStr">
        <is>
          <t xml:space="preserve">Genişletilmiş</t>
        </is>
      </c>
      <c r="D44" s="19" t="s">
        <v>266</v>
      </c>
      <c r="E44" s="20" t="inlineStr">
        <is>
          <t xml:space="preserve">RA + Kanal: Fix. Test sorumlusu bu kanalın test hesabında kullanılabildiğini teyit etmiş.</t>
        </is>
      </c>
      <c r="F44" s="20" t="s">
        <v>268</v>
      </c>
      <c r="G44" s="20" t="inlineStr">
        <is>
          <t xml:space="preserve">Emirler seçilen Fix kanalıyla doğru hesapta görünür. Gerçekleşme oluşursa iki bacak ve paket miktarları uyumludur.</t>
        </is>
      </c>
      <c r="H44" s="19"/>
      <c r="I44" s="19" t="inlineStr">
        <is>
          <t xml:space="preserve">Takip tablosu, Pasif Emirler, Emir Geçmişi ve ilgili işlem ekranı.</t>
        </is>
      </c>
      <c r="J44" s="18" t="s">
        <v>79</v>
      </c>
      <c r="K44" s="18" t="s">
        <v>88</v>
      </c>
      <c r="L44" s="20"/>
      <c r="M44" s="21"/>
    </row>
    <row r="45" spans="1:13" ht="99" customHeight="1" x14ac:dyDescent="0.25">
      <c r="A45" s="17" t="s">
        <v>272</v>
      </c>
      <c r="B45" s="18" t="s">
        <v>12</v>
      </c>
      <c r="C45" s="19" t="inlineStr">
        <is>
          <t xml:space="preserve">Ana sanity</t>
        </is>
      </c>
      <c r="D45" s="19" t="s">
        <v>273</v>
      </c>
      <c r="E45" s="20" t="s">
        <v>274</v>
      </c>
      <c r="F45" s="20" t="s">
        <v>275</v>
      </c>
      <c r="G45" s="20" t="s">
        <v>276</v>
      </c>
      <c r="H45" s="19" t="s">
        <v>852</v>
      </c>
      <c r="I45" s="19" t="inlineStr">
        <is>
          <t xml:space="preserve">Takip tablosu, Pasif Emirler, Emir Geçmişi ve ilgili işlem ekranı.</t>
        </is>
      </c>
      <c r="J45" s="18" t="s">
        <v>79</v>
      </c>
      <c r="K45" s="18" t="s">
        <v>57</v>
      </c>
      <c r="L45" s="20"/>
      <c r="M45" s="21"/>
    </row>
    <row r="46" spans="1:13" x14ac:dyDescent="0.25" ht="99.0" customHeight="1">
      <c r="A46" s="17" t="s">
        <v>278</v>
      </c>
      <c r="B46" s="18" t="s">
        <v>924</v>
      </c>
      <c r="C46" s="19" t="inlineStr">
        <is>
          <t xml:space="preserve">Ana sanity</t>
        </is>
      </c>
      <c r="D46" s="19" t="s">
        <v>280</v>
      </c>
      <c r="E46" s="20" t="s">
        <v>281</v>
      </c>
      <c r="F46" s="20" t="s">
        <v>896</v>
      </c>
      <c r="G46" s="20" t="s">
        <v>283</v>
      </c>
      <c r="H46" s="19"/>
      <c r="I46" s="19" t="inlineStr">
        <is>
          <t xml:space="preserve">Takip tablosu, Pasif Emirler, Emir Geçmişi ve ilgili işlem ekranı.</t>
        </is>
      </c>
      <c r="J46" s="18" t="s">
        <v>79</v>
      </c>
      <c r="K46" s="18" t="s">
        <v>57</v>
      </c>
      <c r="L46" s="20"/>
      <c r="M46" s="21"/>
    </row>
    <row r="47" spans="1:13" x14ac:dyDescent="0.25" ht="151.0" customHeight="1">
      <c r="A47" s="17" t="s">
        <v>286</v>
      </c>
      <c r="B47" s="18" t="s">
        <v>925</v>
      </c>
      <c r="C47" s="19" t="inlineStr">
        <is>
          <t xml:space="preserve">Ana sanity</t>
        </is>
      </c>
      <c r="D47" s="19" t="s">
        <v>287</v>
      </c>
      <c r="E47" s="20" t="s">
        <v>288</v>
      </c>
      <c r="F47" s="20" t="s">
        <v>898</v>
      </c>
      <c r="G47" s="20" t="s">
        <v>290</v>
      </c>
      <c r="H47" s="19"/>
      <c r="I47" s="19" t="inlineStr">
        <is>
          <t xml:space="preserve">Takip tablosu, Pasif Emirler, Emir Geçmişi ve ilgili işlem ekranı.</t>
        </is>
      </c>
      <c r="J47" s="18" t="s">
        <v>79</v>
      </c>
      <c r="K47" s="18" t="s">
        <v>57</v>
      </c>
      <c r="L47" s="20"/>
      <c r="M47" s="21"/>
    </row>
    <row r="48" spans="1:13" ht="48" customHeight="1" x14ac:dyDescent="0.25">
      <c r="A48" s="17" t="s">
        <v>293</v>
      </c>
      <c r="B48" s="18" t="s">
        <v>926</v>
      </c>
      <c r="C48" s="19" t="inlineStr">
        <is>
          <t xml:space="preserve">Karar bekliyor</t>
        </is>
      </c>
      <c r="D48" s="19" t="s">
        <v>294</v>
      </c>
      <c r="E48" s="20" t="s">
        <v>295</v>
      </c>
      <c r="F48" s="20" t="s">
        <v>296</v>
      </c>
      <c r="G48" s="20" t="s">
        <v>297</v>
      </c>
      <c r="H48" s="19"/>
      <c r="I48" s="19" t="inlineStr">
        <is>
          <t xml:space="preserve">Takip tablosu, Pasif Emirler, Emir Geçmişi ve ilgili işlem ekranı.</t>
        </is>
      </c>
      <c r="J48" s="18" t="s">
        <v>79</v>
      </c>
      <c r="K48" s="18" t="s">
        <v>57</v>
      </c>
      <c r="L48" s="20" t="inlineStr">
        <is>
          <t xml:space="preserve">Otomatik yön seçiminin beklenen işleyişi netleşince R01 ile birlikte kontrol edilir. Netleşmeden bu satıra başarılı/başarısız sonucu vermeyin.</t>
        </is>
      </c>
      <c r="M48" s="21"/>
    </row>
    <row r="49" spans="1:13" ht="86.25" customHeight="1" x14ac:dyDescent="0.25">
      <c r="A49" s="17" t="s">
        <v>300</v>
      </c>
      <c r="B49" s="18" t="s">
        <v>927</v>
      </c>
      <c r="C49" s="19" t="inlineStr">
        <is>
          <t xml:space="preserve">Genişletilmiş</t>
        </is>
      </c>
      <c r="D49" s="19" t="s">
        <v>301</v>
      </c>
      <c r="E49" s="20" t="s">
        <v>302</v>
      </c>
      <c r="F49" s="20" t="s">
        <v>303</v>
      </c>
      <c r="G49" s="20" t="s">
        <v>304</v>
      </c>
      <c r="H49" s="19"/>
      <c r="I49" s="19" t="inlineStr">
        <is>
          <t xml:space="preserve">Takip tablosu, Pasif Emirler, Emir Geçmişi ve ilgili işlem ekranı.</t>
        </is>
      </c>
      <c r="J49" s="18" t="s">
        <v>79</v>
      </c>
      <c r="K49" s="18" t="s">
        <v>88</v>
      </c>
      <c r="L49" s="20"/>
      <c r="M49" s="21"/>
    </row>
    <row r="50" spans="1:13" ht="86.25" customHeight="1" x14ac:dyDescent="0.25">
      <c r="A50" s="17" t="s">
        <v>307</v>
      </c>
      <c r="B50" s="18" t="s">
        <v>928</v>
      </c>
      <c r="C50" s="19" t="inlineStr">
        <is>
          <t xml:space="preserve">Ana sanity</t>
        </is>
      </c>
      <c r="D50" s="19" t="s">
        <v>308</v>
      </c>
      <c r="E50" s="20" t="s">
        <v>309</v>
      </c>
      <c r="F50" s="20" t="s">
        <v>310</v>
      </c>
      <c r="G50" s="20" t="s">
        <v>311</v>
      </c>
      <c r="H50" s="19"/>
      <c r="I50" s="19" t="inlineStr">
        <is>
          <t xml:space="preserve">Takip tablosu, Pasif Emirler, Emir Geçmişi ve ilgili işlem ekranı.</t>
        </is>
      </c>
      <c r="J50" s="18" t="s">
        <v>79</v>
      </c>
      <c r="K50" s="18" t="s">
        <v>57</v>
      </c>
      <c r="L50" s="20" t="inlineStr">
        <is>
          <t xml:space="preserve">İki bacağın beklenen miktarını işlemden önce kaydedin. Opsiyonel ayarlarda miktar değiştirilecekse önce R04 kontrolü tamamlanmalıdır.</t>
        </is>
      </c>
      <c r="M50" s="21"/>
    </row>
    <row r="51" spans="1:13" ht="86.25" customHeight="1" x14ac:dyDescent="0.25">
      <c r="A51" s="17" t="s">
        <v>314</v>
      </c>
      <c r="B51" s="18" t="s">
        <v>929</v>
      </c>
      <c r="C51" s="19" t="inlineStr">
        <is>
          <t xml:space="preserve">Ana sanity</t>
        </is>
      </c>
      <c r="D51" s="19" t="s">
        <v>315</v>
      </c>
      <c r="E51" s="20" t="s">
        <v>316</v>
      </c>
      <c r="F51" s="20" t="s">
        <v>317</v>
      </c>
      <c r="G51" s="20" t="s">
        <v>318</v>
      </c>
      <c r="H51" s="19"/>
      <c r="I51" s="19" t="inlineStr">
        <is>
          <t xml:space="preserve">Takip tablosu, Pasif Emirler, Emir Geçmişi ve ilgili işlem ekranı.</t>
        </is>
      </c>
      <c r="J51" s="18" t="s">
        <v>79</v>
      </c>
      <c r="K51" s="18" t="s">
        <v>57</v>
      </c>
      <c r="L51" s="20" t="inlineStr">
        <is>
          <t xml:space="preserve">İki vadenin tarihlerini ve beklenen eşit kontrat miktarını kaydedin. Opsiyonel miktar değişikliği ayrıca R04 kapsamındadır.</t>
        </is>
      </c>
      <c r="M51" s="21"/>
    </row>
    <row r="52" spans="1:13" ht="60.75" customHeight="1" x14ac:dyDescent="0.25">
      <c r="A52" s="17" t="s">
        <v>321</v>
      </c>
      <c r="B52" s="18" t="s">
        <v>930</v>
      </c>
      <c r="C52" s="19" t="inlineStr">
        <is>
          <t xml:space="preserve">Ana sanity</t>
        </is>
      </c>
      <c r="D52" s="19" t="s">
        <v>322</v>
      </c>
      <c r="E52" s="20" t="s">
        <v>323</v>
      </c>
      <c r="F52" s="20" t="s">
        <v>324</v>
      </c>
      <c r="G52" s="20" t="s">
        <v>325</v>
      </c>
      <c r="H52" s="19"/>
      <c r="I52" s="19" t="inlineStr">
        <is>
          <t xml:space="preserve">Takip tablosu, Pasif Emirler, Emir Geçmişi ve ilgili işlem ekranı.</t>
        </is>
      </c>
      <c r="J52" s="18" t="s">
        <v>79</v>
      </c>
      <c r="K52" s="18" t="s">
        <v>88</v>
      </c>
      <c r="L52" s="20"/>
      <c r="M52" s="21"/>
    </row>
    <row r="53" spans="1:13" x14ac:dyDescent="0.25" ht="203.0" customHeight="1">
      <c r="A53" s="17" t="s">
        <v>328</v>
      </c>
      <c r="B53" s="18" t="s">
        <v>931</v>
      </c>
      <c r="C53" s="19" t="inlineStr">
        <is>
          <t xml:space="preserve">Ana sanity</t>
        </is>
      </c>
      <c r="D53" s="19" t="s">
        <v>330</v>
      </c>
      <c r="E53" s="20" t="s">
        <v>331</v>
      </c>
      <c r="F53" s="20" t="s">
        <v>901</v>
      </c>
      <c r="G53" s="20" t="s">
        <v>333</v>
      </c>
      <c r="H53" s="19"/>
      <c r="I53" s="19" t="inlineStr">
        <is>
          <t xml:space="preserve">Takip tablosu, Pasif Emirler, Emir Geçmişi ve ilgili işlem ekranı.</t>
        </is>
      </c>
      <c r="J53" s="18" t="s">
        <v>79</v>
      </c>
      <c r="K53" s="18" t="s">
        <v>88</v>
      </c>
      <c r="L53" s="20"/>
      <c r="M53" s="21"/>
    </row>
    <row r="54" spans="1:13" ht="86.25" customHeight="1" x14ac:dyDescent="0.25">
      <c r="A54" s="17" t="s">
        <v>336</v>
      </c>
      <c r="B54" s="18" t="s">
        <v>932</v>
      </c>
      <c r="C54" s="19" t="inlineStr">
        <is>
          <t xml:space="preserve">Ana sanity</t>
        </is>
      </c>
      <c r="D54" s="19" t="s">
        <v>337</v>
      </c>
      <c r="E54" s="20" t="s">
        <v>338</v>
      </c>
      <c r="F54" s="20" t="s">
        <v>339</v>
      </c>
      <c r="G54" s="20" t="s">
        <v>340</v>
      </c>
      <c r="H54" s="19"/>
      <c r="I54" s="19" t="inlineStr">
        <is>
          <t xml:space="preserve">Takip tablosu, Pasif Emirler, Emir Geçmişi ve ilgili işlem ekranı.</t>
        </is>
      </c>
      <c r="J54" s="18" t="s">
        <v>79</v>
      </c>
      <c r="K54" s="18" t="s">
        <v>88</v>
      </c>
      <c r="L54" s="20"/>
      <c r="M54" s="21"/>
    </row>
    <row r="55" spans="1:13" ht="73.5" customHeight="1" x14ac:dyDescent="0.25">
      <c r="A55" s="17" t="s">
        <v>343</v>
      </c>
      <c r="B55" s="18" t="inlineStr">
        <is>
          <t xml:space="preserve">Kısmen</t>
        </is>
      </c>
      <c r="C55" s="19" t="inlineStr">
        <is>
          <t xml:space="preserve">Genişletilmiş</t>
        </is>
      </c>
      <c r="D55" s="19" t="s">
        <v>344</v>
      </c>
      <c r="E55" s="20" t="s">
        <v>338</v>
      </c>
      <c r="F55" s="20" t="s">
        <v>345</v>
      </c>
      <c r="G55" s="20" t="inlineStr">
        <is>
          <t xml:space="preserve">Ekrandaki V.K.G. vade tarihine kalan günü gösterir. Faiz hesabında kullanılan süre, tatil ve takas günlerinden etkilenebilir; iki değeri ayrı kaydedip onaylı hesapla karşılaştırın.</t>
        </is>
      </c>
      <c r="H55" s="19" t="s">
        <v>853</v>
      </c>
      <c r="I55" s="19" t="inlineStr">
        <is>
          <t xml:space="preserve">Takip tablosu, Pasif Emirler, Emir Geçmişi ve ilgili işlem ekranı.</t>
        </is>
      </c>
      <c r="J55" s="18" t="s">
        <v>79</v>
      </c>
      <c r="K55" s="18" t="s">
        <v>88</v>
      </c>
      <c r="L55" s="20" t="inlineStr">
        <is>
          <t xml:space="preserve">Önceki gözlem: ekrandaki gün sayısı doğru bulunmuş. Bekleyen: tatil ve takas günleri dikkate alınarak hesaplanan süreyle karşılaştırma.</t>
        </is>
      </c>
      <c r="M55" s="21"/>
    </row>
    <row r="56" spans="1:13" x14ac:dyDescent="0.25" ht="151.0" customHeight="1">
      <c r="A56" s="17" t="s">
        <v>348</v>
      </c>
      <c r="B56" s="18" t="s">
        <v>933</v>
      </c>
      <c r="C56" s="19" t="inlineStr">
        <is>
          <t xml:space="preserve">Karar bekliyor</t>
        </is>
      </c>
      <c r="D56" s="19" t="s">
        <v>349</v>
      </c>
      <c r="E56" s="20" t="inlineStr">
        <is>
          <t xml:space="preserve">Açılışı ve kapanışı tamamlanmış bir paket; gösterilen kârın birimi ve masraf kapsamı test sorumlusuyla netleştirilmiş.</t>
        </is>
      </c>
      <c r="F56" s="20" t="inlineStr">
        <is>
          <t xml:space="preserve">1. Paketin iki bacağındaki açılış/kapanış fiyatlarını ve gerçekleşen miktarları kaydedin.
2. Her bacağın alış ve satış tutarından beklenen kârı hesaplayın; sözleşme çarpanını dikkate alın.
3. Arbitraj Hareketleri ekranındaki Net Kâr ve Toplam Kâr değerlerini aynı birimle karşılaştırın.
4. Boş alan veya tutarsızlık varsa ekran görüntüsüyle kaydedin.</t>
        </is>
      </c>
      <c r="G56" s="20" t="inlineStr">
        <is>
          <t xml:space="preserve">Ekranda gösterilen kâr, kararlaştırılmış birim ve masraf kapsamına göre hesaplanan değerle uyumludur. Birim/kapsam belirlenmemişse test tamamlanmış sayılmaz.</t>
        </is>
      </c>
      <c r="H56" s="19"/>
      <c r="I56" s="19" t="inlineStr">
        <is>
          <t xml:space="preserve">Takip tablosu, Pasif Emirler, Emir Geçmişi ve ilgili işlem ekranı.</t>
        </is>
      </c>
      <c r="J56" s="18" t="s">
        <v>79</v>
      </c>
      <c r="K56" s="18" t="s">
        <v>88</v>
      </c>
      <c r="L56" s="20" t="inlineStr">
        <is>
          <t xml:space="preserve">Önceki kayıtta kârın ekrandaki gösterimiyle ilgili belirsizlik bulunuyor; beklenen değer netleşmeden karşılaştırma yapılamaz.</t>
        </is>
      </c>
      <c r="M56" s="21"/>
    </row>
    <row r="57" spans="1:13" ht="111.75" customHeight="1" x14ac:dyDescent="0.25">
      <c r="A57" s="17" t="s">
        <v>355</v>
      </c>
      <c r="B57" s="18" t="s">
        <v>825</v>
      </c>
      <c r="C57" s="19" t="inlineStr">
        <is>
          <t xml:space="preserve">Ana sanity</t>
        </is>
      </c>
      <c r="D57" s="19" t="s">
        <v>357</v>
      </c>
      <c r="E57" s="20" t="s">
        <v>358</v>
      </c>
      <c r="F57" s="20" t="s">
        <v>359</v>
      </c>
      <c r="G57" s="20" t="inlineStr">
        <is>
          <t xml:space="preserve">Strateji durmuş görünür ve yeni açılış yapmaz. Bekleyen vadeli emirler iptal edilir; mevcut paketler ve gerçekleşmiş pozisyon korunur. Bekleyen spot emir varsa miktarı kaydedilir ve R03 kapsamındaki durdurma kuralıyla karşılaştırılır.</t>
        </is>
      </c>
      <c r="H57" s="19"/>
      <c r="I57" s="19" t="inlineStr">
        <is>
          <t xml:space="preserve">Takip tablosu, Pasif Emirler, Emir Geçmişi ve ilgili işlem ekranı.</t>
        </is>
      </c>
      <c r="J57" s="18" t="s">
        <v>79</v>
      </c>
      <c r="K57" s="18" t="s">
        <v>57</v>
      </c>
      <c r="L57" s="20" t="inlineStr">
        <is>
          <t xml:space="preserve">Durdurmak, tüm pozisyonları kapatmak değildir. Spot emir iptali için kararlaştırılmamış bir beklenti kullanmayın.</t>
        </is>
      </c>
      <c r="M57" s="21"/>
    </row>
    <row r="58" spans="1:13" ht="86.25" customHeight="1" x14ac:dyDescent="0.25">
      <c r="A58" s="17" t="s">
        <v>362</v>
      </c>
      <c r="B58" s="18" t="s">
        <v>12</v>
      </c>
      <c r="C58" s="19" t="inlineStr">
        <is>
          <t xml:space="preserve">Ana sanity</t>
        </is>
      </c>
      <c r="D58" s="19" t="s">
        <v>363</v>
      </c>
      <c r="E58" s="20" t="s">
        <v>364</v>
      </c>
      <c r="F58" s="20" t="s">
        <v>365</v>
      </c>
      <c r="G58" s="20" t="s">
        <v>366</v>
      </c>
      <c r="H58" s="19"/>
      <c r="I58" s="19" t="inlineStr">
        <is>
          <t xml:space="preserve">Takip tablosu, Pasif Emirler, Emir Geçmişi ve ilgili işlem ekranı.</t>
        </is>
      </c>
      <c r="J58" s="18" t="s">
        <v>79</v>
      </c>
      <c r="K58" s="18" t="s">
        <v>57</v>
      </c>
      <c r="L58" s="20"/>
      <c r="M58" s="21"/>
    </row>
    <row r="59" spans="1:13" ht="86.25" customHeight="1" x14ac:dyDescent="0.25">
      <c r="A59" s="17" t="s">
        <v>368</v>
      </c>
      <c r="B59" s="18" t="s">
        <v>825</v>
      </c>
      <c r="C59" s="19" t="inlineStr">
        <is>
          <t xml:space="preserve">Genişletilmiş</t>
        </is>
      </c>
      <c r="D59" s="19" t="inlineStr">
        <is>
          <t xml:space="preserve">Ertesi gün paket ve pozisyonların korunması</t>
        </is>
      </c>
      <c r="E59" s="20" t="s">
        <v>370</v>
      </c>
      <c r="F59" s="20" t="inlineStr">
        <is>
          <t xml:space="preserve">1. Gün sonundaki açık paketleri, pozisyonları ve K.P. değerini kaydedin.
2. Ertesi gün Arbitraj ekranını açıp aynı çifti kontrol edin.
3. Stratejiyi başlatın; mevcut paketler için kapanış emri oluştuğunu kontrol edin.</t>
        </is>
      </c>
      <c r="G59" s="20" t="inlineStr">
        <is>
          <t xml:space="preserve">Önceki günden kalan açık paketler ve pozisyonlar tekrar görünür. Yeni günün kapanış sayacı 0 olur; başlatınca mevcut paketler kapanış için değerlendirilir.</t>
        </is>
      </c>
      <c r="H59" s="19"/>
      <c r="I59" s="19" t="inlineStr">
        <is>
          <t xml:space="preserve">Takip tablosu, Pasif Emirler, Emir Geçmişi ve ilgili işlem ekranı.</t>
        </is>
      </c>
      <c r="J59" s="18" t="s">
        <v>87</v>
      </c>
      <c r="K59" s="18" t="s">
        <v>57</v>
      </c>
      <c r="L59" s="20" t="inlineStr">
        <is>
          <t xml:space="preserve">Günler arası kontrol gerektirir; aynı gün yapılan ekran yenilemesi bu testin yerine geçmez.</t>
        </is>
      </c>
      <c r="M59" s="21"/>
    </row>
    <row r="60" spans="1:13" ht="86.25" customHeight="1" x14ac:dyDescent="0.25">
      <c r="A60" s="17" t="s">
        <v>375</v>
      </c>
      <c r="B60" s="18" t="s">
        <v>934</v>
      </c>
      <c r="C60" s="19" t="inlineStr">
        <is>
          <t xml:space="preserve">Genişletilmiş</t>
        </is>
      </c>
      <c r="D60" s="19" t="s">
        <v>376</v>
      </c>
      <c r="E60" s="20" t="s">
        <v>377</v>
      </c>
      <c r="F60" s="20" t="inlineStr">
        <is>
          <t xml:space="preserve">1. Test gününün sürekli müzayede bitiş saatini not edin; strateji bitişini daha ileri bir saate ayarlayın.
2. Seans bitince çalışma durumunu ve bekleyen vadeli emirleri kontrol edin.
3. Seans yeniden açılırsa stratejinin kendiliğinden başlayıp başlamadığını kaydedin.</t>
        </is>
      </c>
      <c r="G60" s="20" t="s">
        <v>379</v>
      </c>
      <c r="H60" s="19"/>
      <c r="I60" s="19" t="inlineStr">
        <is>
          <t xml:space="preserve">Takip tablosu, Pasif Emirler, Emir Geçmişi ve ilgili işlem ekranı.</t>
        </is>
      </c>
      <c r="J60" s="18" t="s">
        <v>79</v>
      </c>
      <c r="K60" s="18" t="s">
        <v>88</v>
      </c>
      <c r="L60" s="20"/>
      <c r="M60" s="21"/>
    </row>
    <row r="61" spans="1:13" ht="48" customHeight="1" x14ac:dyDescent="0.25">
      <c r="A61" s="17" t="s">
        <v>382</v>
      </c>
      <c r="B61" s="18" t="s">
        <v>935</v>
      </c>
      <c r="C61" s="19" t="inlineStr">
        <is>
          <t xml:space="preserve">Genişletilmiş</t>
        </is>
      </c>
      <c r="D61" s="19" t="s">
        <v>383</v>
      </c>
      <c r="E61" s="20" t="s">
        <v>384</v>
      </c>
      <c r="F61" s="20" t="s">
        <v>909</v>
      </c>
      <c r="G61" s="20" t="s">
        <v>386</v>
      </c>
      <c r="H61" s="19"/>
      <c r="I61" s="19" t="inlineStr">
        <is>
          <t xml:space="preserve">Takip tablosu, Pasif Emirler, Emir Geçmişi ve ilgili işlem ekranı.</t>
        </is>
      </c>
      <c r="J61" s="18" t="s">
        <v>79</v>
      </c>
      <c r="K61" s="18" t="s">
        <v>388</v>
      </c>
      <c r="L61" s="20"/>
      <c r="M61" s="21"/>
    </row>
    <row r="62" spans="1:13" ht="99" customHeight="1" x14ac:dyDescent="0.25">
      <c r="A62" s="17" t="s">
        <v>389</v>
      </c>
      <c r="B62" s="18" t="s">
        <v>936</v>
      </c>
      <c r="C62" s="19" t="inlineStr">
        <is>
          <t xml:space="preserve">Ana sanity</t>
        </is>
      </c>
      <c r="D62" s="19" t="s">
        <v>390</v>
      </c>
      <c r="E62" s="20" t="inlineStr">
        <is>
          <t xml:space="preserve">Test sorumlusunca hazırlanmış düşük limitli test hesabı; beklenen ret koşulu ve denenecek miktar önceden kaydedilmiş.</t>
        </is>
      </c>
      <c r="F62" s="20" t="s">
        <v>392</v>
      </c>
      <c r="G62" s="20" t="s">
        <v>393</v>
      </c>
      <c r="H62" s="19"/>
      <c r="I62" s="19" t="inlineStr">
        <is>
          <t xml:space="preserve">Takip tablosu, Pasif Emirler, Emir Geçmişi ve ilgili işlem ekranı.</t>
        </is>
      </c>
      <c r="J62" s="18" t="s">
        <v>79</v>
      </c>
      <c r="K62" s="18" t="s">
        <v>57</v>
      </c>
      <c r="L62" s="20" t="inlineStr">
        <is>
          <t xml:space="preserve">Ret koşulu hazırlanamıyorsa Bloke seçin; reddedilmeyen emirle bu kontrol tamamlanamaz.</t>
        </is>
      </c>
      <c r="M62" s="21"/>
    </row>
    <row r="63" spans="1:13" x14ac:dyDescent="0.25" ht="112.0" customHeight="1">
      <c r="A63" s="17" t="s">
        <v>396</v>
      </c>
      <c r="B63" s="18" t="s">
        <v>911</v>
      </c>
      <c r="C63" s="19" t="inlineStr">
        <is>
          <t xml:space="preserve">Ana sanity</t>
        </is>
      </c>
      <c r="D63" s="19" t="s">
        <v>397</v>
      </c>
      <c r="E63" s="20" t="s">
        <v>398</v>
      </c>
      <c r="F63" s="20" t="s">
        <v>399</v>
      </c>
      <c r="G63" s="20" t="inlineStr">
        <is>
          <t xml:space="preserve">Seçilen hesaptaki bekleyen emirler iptal edilir ve sonuç ekranda görünür. Sonradan yeni emir oluşup oluşmadığı ayrıca kaydedilir. Aktiften Kapat seçeneğinin pozisyona etkisi kararlaştırılmış davranışla karşılaştırılır.</t>
        </is>
      </c>
      <c r="H63" s="19"/>
      <c r="I63" s="19" t="inlineStr">
        <is>
          <t xml:space="preserve">Takip tablosu, Pasif Emirler, Emir Geçmişi ve ilgili işlem ekranı.</t>
        </is>
      </c>
      <c r="J63" s="18" t="s">
        <v>79</v>
      </c>
      <c r="K63" s="18" t="s">
        <v>88</v>
      </c>
      <c r="L63" s="20" t="inlineStr">
        <is>
          <t xml:space="preserve">Önceki Bloke sonucu korunmuştur. Aktiften Kapat adımı için beklenen pozisyon davranışı net değilse bu adımı tamamlanmış saymayın.</t>
        </is>
      </c>
      <c r="M63" s="21"/>
    </row>
    <row r="64" spans="1:13" x14ac:dyDescent="0.25" ht="112.0" customHeight="1">
      <c r="A64" s="17" t="s">
        <v>402</v>
      </c>
      <c r="B64" s="18" t="s">
        <v>937</v>
      </c>
      <c r="C64" s="19" t="inlineStr">
        <is>
          <t xml:space="preserve">Ana sanity</t>
        </is>
      </c>
      <c r="D64" s="19" t="s">
        <v>404</v>
      </c>
      <c r="E64" s="20" t="inlineStr">
        <is>
          <t xml:space="preserve">Arbitraj panelinde çift ekleme penceresi açık; test hesabı, geçerli vadeli ve dayanak seçilmiş.</t>
        </is>
      </c>
      <c r="F64" s="20" t="inlineStr">
        <is>
          <t xml:space="preserve">1. Hesap, vadeli, dayanak, strateji kimliği ve türü seçip kaydedin.
2. Yeni çiftin takip tablosunda göründüğünü ve sayfa yenilenince korunduğunu kontrol edin.
3. Ayrı denemede zorunlu bir alanı boş bırakıp kaydetmeyi deneyin.
4. Strateji kimliği için ekrandaki uzunluk kısıtını deneyip mesajı kaydedin.</t>
        </is>
      </c>
      <c r="G64" s="20" t="inlineStr">
        <is>
          <t xml:space="preserve">Geçerli çift kaydedilir ve yenileme sonrası görünür. Eksik/geçersiz girişte kayıt engellenir ve kullanıcı anlaşılır biçimde bilgilendirilir.</t>
        </is>
      </c>
      <c r="H64" s="19"/>
      <c r="I64" s="19" t="inlineStr">
        <is>
          <t xml:space="preserve">Takip tablosu, Pasif Emirler, Emir Geçmişi ve ilgili işlem ekranı.</t>
        </is>
      </c>
      <c r="J64" s="18" t="s">
        <v>79</v>
      </c>
      <c r="K64" s="18" t="s">
        <v>57</v>
      </c>
      <c r="L64" s="20"/>
      <c r="M64" s="21"/>
    </row>
    <row r="65" spans="1:13" ht="73.5" customHeight="1" x14ac:dyDescent="0.25">
      <c r="A65" s="17" t="s">
        <v>410</v>
      </c>
      <c r="B65" s="18" t="s">
        <v>490</v>
      </c>
      <c r="C65" s="19" t="inlineStr">
        <is>
          <t xml:space="preserve">Ana sanity</t>
        </is>
      </c>
      <c r="D65" s="19" t="s">
        <v>411</v>
      </c>
      <c r="E65" s="20" t="s">
        <v>412</v>
      </c>
      <c r="F65" s="20" t="s">
        <v>413</v>
      </c>
      <c r="G65" s="20" t="s">
        <v>414</v>
      </c>
      <c r="H65" s="19"/>
      <c r="I65" s="19" t="inlineStr">
        <is>
          <t xml:space="preserve">Takip tablosu, Pasif Emirler, Emir Geçmişi ve ilgili işlem ekranı.</t>
        </is>
      </c>
      <c r="J65" s="18" t="s">
        <v>79</v>
      </c>
      <c r="K65" s="18" t="s">
        <v>88</v>
      </c>
      <c r="L65" s="20"/>
      <c r="M65" s="21"/>
    </row>
    <row r="66" spans="1:13" x14ac:dyDescent="0.25" ht="73.0" customHeight="1">
      <c r="A66" s="17" t="s">
        <v>417</v>
      </c>
      <c r="B66" s="18" t="s">
        <v>12</v>
      </c>
      <c r="C66" s="19" t="inlineStr">
        <is>
          <t xml:space="preserve">Ana sanity</t>
        </is>
      </c>
      <c r="D66" s="19" t="s">
        <v>418</v>
      </c>
      <c r="E66" s="20" t="s">
        <v>419</v>
      </c>
      <c r="F66" s="20" t="s">
        <v>420</v>
      </c>
      <c r="G66" s="20" t="s">
        <v>421</v>
      </c>
      <c r="H66" s="27" t="inlineStr">
        <is>
          <t xml:space="preserve">Vadesi geçmiş bir kontrat hiçbir şekilde listeye eklenmiyor. Kullanıcıya panele eklenemediğine dair enstrüman kimliği değerini gösteriyoruz. </t>
        </is>
      </c>
      <c r="I66" s="19" t="inlineStr">
        <is>
          <t xml:space="preserve">Takip tablosu, Pasif Emirler, Emir Geçmişi ve ilgili işlem ekranı.</t>
        </is>
      </c>
      <c r="J66" s="18" t="s">
        <v>79</v>
      </c>
      <c r="K66" s="18" t="s">
        <v>388</v>
      </c>
      <c r="L66" s="20" t="inlineStr">
        <is>
          <t xml:space="preserve">Önceki gözlemde yalnız terimler sadeleştirildi; sonuç ve anlam korunmuştur.</t>
        </is>
      </c>
      <c r="M66" s="21"/>
    </row>
    <row r="67" spans="1:13" x14ac:dyDescent="0.25" ht="73.0" customHeight="1">
      <c r="A67" s="17" t="s">
        <v>423</v>
      </c>
      <c r="B67" s="18" t="s">
        <v>490</v>
      </c>
      <c r="C67" s="19" t="inlineStr">
        <is>
          <t xml:space="preserve">Genişletilmiş</t>
        </is>
      </c>
      <c r="D67" s="19" t="s">
        <v>424</v>
      </c>
      <c r="E67" s="20" t="s">
        <v>425</v>
      </c>
      <c r="F67" s="20" t="s">
        <v>426</v>
      </c>
      <c r="G67" s="20" t="s">
        <v>427</v>
      </c>
      <c r="H67" s="19"/>
      <c r="I67" s="19" t="inlineStr">
        <is>
          <t xml:space="preserve">Takip tablosu, Pasif Emirler, Emir Geçmişi ve ilgili işlem ekranı.</t>
        </is>
      </c>
      <c r="J67" s="18" t="s">
        <v>79</v>
      </c>
      <c r="K67" s="18" t="s">
        <v>57</v>
      </c>
      <c r="L67" s="20"/>
      <c r="M67" s="21"/>
    </row>
    <row r="68" spans="1:13" x14ac:dyDescent="0.25" ht="73.0" customHeight="1">
      <c r="A68" s="17" t="s">
        <v>430</v>
      </c>
      <c r="B68" s="18" t="inlineStr">
        <is>
          <t xml:space="preserve">Kısmen</t>
        </is>
      </c>
      <c r="C68" s="19" t="inlineStr">
        <is>
          <t xml:space="preserve">Ana sanity</t>
        </is>
      </c>
      <c r="D68" s="19" t="s">
        <v>431</v>
      </c>
      <c r="E68" s="20" t="s">
        <v>432</v>
      </c>
      <c r="F68" s="20" t="inlineStr">
        <is>
          <t xml:space="preserve">1. Ayar verisi bulunmayan/hazır olmayan çiftte ayar açmayı dene; bildirimi kaydet
2. Ayar verisi hazır bir çiftte seçili alanları değiştirip kaydet
3. Pencereyi kapatıp aç; değerleri karşılaştır
4. Sayfayı yenileyip aynı alanları tekrar karşılaştır</t>
        </is>
      </c>
      <c r="G68" s="20" t="inlineStr">
        <is>
          <t xml:space="preserve">Ayarı hazır olmayan çiftte kullanıcı bilgilendirilir. Geçerli değişiklik kaydedilir; pencereyi tekrar açınca ve sayfayı yenileyince aynı değerler görünür. Başarısız işlem başarı olarak gösterilmez.</t>
        </is>
      </c>
      <c r="H68" s="19" t="s">
        <v>859</v>
      </c>
      <c r="I68" s="19" t="inlineStr">
        <is>
          <t xml:space="preserve">Takip tablosu, Pasif Emirler, Emir Geçmişi ve ilgili işlem ekranı.</t>
        </is>
      </c>
      <c r="J68" s="18" t="s">
        <v>79</v>
      </c>
      <c r="K68" s="18" t="s">
        <v>88</v>
      </c>
      <c r="L68" s="20" t="inlineStr">
        <is>
          <t xml:space="preserve">Önceki gözlem: ayarlar kaydedilmiş. Bekleyen: ayarı hazır olmayan çiftte uyarı, pencereyi yeniden açma ve sayfa yenileme sonrası değer karşılaştırması.</t>
        </is>
      </c>
      <c r="M68" s="21"/>
    </row>
    <row r="69" spans="1:13" ht="73.5" customHeight="1" x14ac:dyDescent="0.25">
      <c r="A69" s="17" t="s">
        <v>436</v>
      </c>
      <c r="B69" s="18" t="s">
        <v>825</v>
      </c>
      <c r="C69" s="19" t="inlineStr">
        <is>
          <t xml:space="preserve">Genişletilmiş</t>
        </is>
      </c>
      <c r="D69" s="19" t="s">
        <v>437</v>
      </c>
      <c r="E69" s="20" t="s">
        <v>438</v>
      </c>
      <c r="F69" s="20" t="s">
        <v>439</v>
      </c>
      <c r="G69" s="20" t="s">
        <v>440</v>
      </c>
      <c r="H69" s="19"/>
      <c r="I69" s="19" t="inlineStr">
        <is>
          <t xml:space="preserve">Takip tablosu, Pasif Emirler, Emir Geçmişi ve ilgili işlem ekranı.</t>
        </is>
      </c>
      <c r="J69" s="18" t="s">
        <v>79</v>
      </c>
      <c r="K69" s="18" t="s">
        <v>88</v>
      </c>
      <c r="L69" s="20"/>
      <c r="M69" s="21"/>
    </row>
    <row r="70" spans="1:13" ht="73.5" customHeight="1" x14ac:dyDescent="0.25">
      <c r="A70" s="17" t="s">
        <v>442</v>
      </c>
      <c r="B70" s="18" t="s">
        <v>490</v>
      </c>
      <c r="C70" s="19" t="inlineStr">
        <is>
          <t xml:space="preserve">Ana sanity</t>
        </is>
      </c>
      <c r="D70" s="19" t="s">
        <v>443</v>
      </c>
      <c r="E70" s="20" t="s">
        <v>444</v>
      </c>
      <c r="F70" s="20" t="s">
        <v>445</v>
      </c>
      <c r="G70" s="20" t="inlineStr">
        <is>
          <t xml:space="preserve">Çalışan ve durmuş çiftler birlikte seçildiğinde seçilenler başlatılır; hepsi çalışırken toplu işlem durdurur. Her satırın durumu sonuç bildirimiyle uyumludur; kısmi başarısızlık tam başarı gösterilmez.</t>
        </is>
      </c>
      <c r="H70" s="19"/>
      <c r="I70" s="19" t="inlineStr">
        <is>
          <t xml:space="preserve">Takip tablosu, Pasif Emirler, Emir Geçmişi ve ilgili işlem ekranı.</t>
        </is>
      </c>
      <c r="J70" s="18" t="s">
        <v>79</v>
      </c>
      <c r="K70" s="18" t="s">
        <v>88</v>
      </c>
      <c r="L70" s="20"/>
      <c r="M70" s="21"/>
    </row>
    <row r="71" spans="1:13" x14ac:dyDescent="0.25" ht="112.0" customHeight="1">
      <c r="A71" s="17" t="s">
        <v>448</v>
      </c>
      <c r="B71" s="18" t="inlineStr">
        <is>
          <t xml:space="preserve">Kısmen</t>
        </is>
      </c>
      <c r="C71" s="19" t="inlineStr">
        <is>
          <t xml:space="preserve">Ana sanity</t>
        </is>
      </c>
      <c r="D71" s="19" t="s">
        <v>449</v>
      </c>
      <c r="E71" s="20" t="s">
        <v>450</v>
      </c>
      <c r="F71" s="20" t="inlineStr">
        <is>
          <t xml:space="preserve">1. Mevcut paneli Excel dosyası olarak dışa aktarın; dosyayı açıp çiftleri ve ayarları karşılaştırın.
2. Kopya dosyada bir ayarı değiştirip içe aktarın; ayar ekranını yeniden açarak değeri kontrol edin.
3. 5 MB üzeri ve desteklenmeyen uzantılı dosyalarla ayrı denemeler yapın.
4. Hatalı satır içeren kopyayı yükleyin; uyarıyı ve değişen/değişmeyen kayıtları kaydedin.</t>
        </is>
      </c>
      <c r="G71" s="20" t="inlineStr">
        <is>
          <t xml:space="preserve">Geçerli dosyadaki değişiklik tekrar açılan ayar ekranında görünür. Geçersiz boyut/uzantı için uyarı verilir. Hatalı satır içeren dosyada işlem sonucu ve etkilenen kayıtlar kullanıcı tarafından anlaşılabilir olmalıdır.</t>
        </is>
      </c>
      <c r="H71" s="19" t="s">
        <v>864</v>
      </c>
      <c r="I71" s="19" t="inlineStr">
        <is>
          <t xml:space="preserve">Takip tablosu, Pasif Emirler, Emir Geçmişi ve ilgili işlem ekranı.</t>
        </is>
      </c>
      <c r="J71" s="18" t="s">
        <v>79</v>
      </c>
      <c r="K71" s="18" t="s">
        <v>88</v>
      </c>
      <c r="L71" s="20" t="inlineStr">
        <is>
          <t xml:space="preserve">Önceki gözlem: dosya ile ayar değişikliği yapılmış. Bekleyen: boyut/uzantı kontrolü ve hatalı dosyanın kayıtlar üzerindeki etkisi.</t>
        </is>
      </c>
      <c r="M71" s="21"/>
    </row>
    <row r="72" spans="1:13" x14ac:dyDescent="0.25" ht="138.0" customHeight="1">
      <c r="A72" s="17" t="s">
        <v>453</v>
      </c>
      <c r="B72" s="18" t="inlineStr">
        <is>
          <t xml:space="preserve">Kısmen</t>
        </is>
      </c>
      <c r="C72" s="19" t="inlineStr">
        <is>
          <t xml:space="preserve">Ana sanity</t>
        </is>
      </c>
      <c r="D72" s="19" t="s">
        <v>454</v>
      </c>
      <c r="E72" s="20" t="s">
        <v>455</v>
      </c>
      <c r="F72" s="20" t="inlineStr">
        <is>
          <t xml:space="preserve">1. Strateji durmuşken Paket Ekle ile bir paket ekle; miktarları kaydet
2. Paket Hareketleri’nden paketi değiştir
3. Silme onayını iptal et; paketin korunduğunu kontrol et
4. Silmeyi onayla; paket ve pozisyon değişimini karşılaştır
5. Test ortamında strateji çalışırken ekleme/değiştirme girişimini ve yanıtı kaydet</t>
        </is>
      </c>
      <c r="G72" s="20" t="s">
        <v>457</v>
      </c>
      <c r="H72" s="19" t="s">
        <v>866</v>
      </c>
      <c r="I72" s="19" t="inlineStr">
        <is>
          <t xml:space="preserve">Takip tablosu, Pasif Emirler, Emir Geçmişi ve ilgili işlem ekranı.</t>
        </is>
      </c>
      <c r="J72" s="18" t="s">
        <v>79</v>
      </c>
      <c r="K72" s="18" t="s">
        <v>88</v>
      </c>
      <c r="L72" s="20" t="inlineStr">
        <is>
          <t xml:space="preserve">Önceki gözlem: strateji durmuşken paket işlemleri çalışmış. Bekleyen: silme onayı, pozisyon karşılaştırması ve çalışan stratejide işlem engeli.</t>
        </is>
      </c>
      <c r="M72" s="21"/>
    </row>
    <row r="73" spans="1:13" x14ac:dyDescent="0.25" ht="86.0" customHeight="1">
      <c r="A73" s="17" t="s">
        <v>459</v>
      </c>
      <c r="B73" s="18" t="s">
        <v>16</v>
      </c>
      <c r="C73" s="19" t="inlineStr">
        <is>
          <t xml:space="preserve">Ana sanity</t>
        </is>
      </c>
      <c r="D73" s="19" t="s">
        <v>460</v>
      </c>
      <c r="E73" s="20" t="s">
        <v>461</v>
      </c>
      <c r="F73" s="20" t="inlineStr">
        <is>
          <t xml:space="preserve">1. Pasif Emirler panelinde bekleyen spot emri bulun.
2. Ekranın sunduğu fiyat artırma/azaltma işlemini uygulayın; emir numarası ve yeni fiyatı kaydedin.
3. Karşı fiyata taşıma işlemini uygulayın.
4. Emrin yeni fiyatını ve gerçekleşip gerçekleşmediğini Emir Geçmişi ile karşılaştırın.</t>
        </is>
      </c>
      <c r="G73" s="20" t="inlineStr">
        <is>
          <t xml:space="preserve">Bekleyen spot emir panelde görünür. Fiyat değiştirme işlemi doğru emre uygulanır; emir durumu ve gerçekleşmeler ekrandan takip edilebilir.</t>
        </is>
      </c>
      <c r="H73" s="19"/>
      <c r="I73" s="19" t="inlineStr">
        <is>
          <t xml:space="preserve">Takip tablosu, Pasif Emirler, Emir Geçmişi ve ilgili işlem ekranı.</t>
        </is>
      </c>
      <c r="J73" s="18" t="s">
        <v>79</v>
      </c>
      <c r="K73" s="18" t="s">
        <v>88</v>
      </c>
      <c r="L73" s="20" t="inlineStr">
        <is>
          <t xml:space="preserve">Önceki Başarısız sonucu korunmuştur. Bu revizyonda yeniden denenmedi.</t>
        </is>
      </c>
      <c r="M73" s="21"/>
    </row>
    <row r="74" spans="1:13" ht="86.25" customHeight="1" x14ac:dyDescent="0.25">
      <c r="A74" s="17" t="s">
        <v>465</v>
      </c>
      <c r="B74" s="18" t="s">
        <v>490</v>
      </c>
      <c r="C74" s="19" t="inlineStr">
        <is>
          <t xml:space="preserve">Ana sanity</t>
        </is>
      </c>
      <c r="D74" s="19" t="inlineStr">
        <is>
          <t xml:space="preserve">Strateji kendiliğinden durduğunda kullanıcı bildirimi</t>
        </is>
      </c>
      <c r="E74" s="20" t="s">
        <v>467</v>
      </c>
      <c r="F74" s="20" t="s">
        <v>468</v>
      </c>
      <c r="G74" s="20" t="s">
        <v>469</v>
      </c>
      <c r="H74" s="19"/>
      <c r="I74" s="19" t="inlineStr">
        <is>
          <t xml:space="preserve">Takip tablosu, Pasif Emirler, Emir Geçmişi ve ilgili işlem ekranı.</t>
        </is>
      </c>
      <c r="J74" s="18" t="s">
        <v>79</v>
      </c>
      <c r="K74" s="18" t="s">
        <v>88</v>
      </c>
      <c r="L74" s="20"/>
      <c r="M74" s="21"/>
    </row>
    <row r="75" spans="1:13" ht="60.75" customHeight="1" x14ac:dyDescent="0.25">
      <c r="A75" s="17" t="s">
        <v>472</v>
      </c>
      <c r="B75" s="18" t="s">
        <v>490</v>
      </c>
      <c r="C75" s="19" t="inlineStr">
        <is>
          <t xml:space="preserve">Ana sanity</t>
        </is>
      </c>
      <c r="D75" s="19" t="s">
        <v>473</v>
      </c>
      <c r="E75" s="20" t="s">
        <v>474</v>
      </c>
      <c r="F75" s="20" t="s">
        <v>475</v>
      </c>
      <c r="G75" s="20" t="s">
        <v>476</v>
      </c>
      <c r="H75" s="19"/>
      <c r="I75" s="19" t="inlineStr">
        <is>
          <t xml:space="preserve">Takip tablosu, Pasif Emirler, Emir Geçmişi ve ilgili işlem ekranı.</t>
        </is>
      </c>
      <c r="J75" s="18" t="s">
        <v>79</v>
      </c>
      <c r="K75" s="18" t="s">
        <v>388</v>
      </c>
      <c r="L75" s="20"/>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fRule type="cellIs" dxfId="14" priority="7" operator="equal">
      <formula>"Kısmen"</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COUNTA($A$11:$A$200)</f>
        <v>16</v>
      </c>
      <c r="I2" s="9" t="inlineStr">
        <is>
          <t xml:space="preserve">Test Edilmedi</t>
        </is>
      </c>
      <c r="J2" s="13">
        <f>COUNTIF($B$11:$B$200,"Test Edilmedi")</f>
        <v>16</v>
      </c>
      <c r="K2" s="9" t="inlineStr">
        <is>
          <t xml:space="preserve">Bloke</t>
        </is>
      </c>
      <c r="L2" s="13">
        <f>COUNTIF($B$11:$B$200,"Bloke")</f>
        <v>0</v>
      </c>
    </row>
    <row r="3" spans="1:13" ht="21.75" customHeight="1" x14ac:dyDescent="0.25">
      <c r="A3" s="6"/>
      <c r="B3" s="6"/>
      <c r="C3" s="9" t="s">
        <v>9</v>
      </c>
      <c r="D3" s="10" t="inlineStr">
        <is>
          <t xml:space="preserve">Ek kontroller ve tekrar testleri</t>
        </is>
      </c>
      <c r="E3" s="9" t="s">
        <v>11</v>
      </c>
      <c r="F3" s="11"/>
      <c r="G3" s="9" t="s">
        <v>12</v>
      </c>
      <c r="H3" s="13">
        <f>COUNTIF($B$11:$B$200,"Başarılı")</f>
        <v>0</v>
      </c>
      <c r="I3" s="9" t="inlineStr">
        <is>
          <t xml:space="preserve">Test Ediliyor</t>
        </is>
      </c>
      <c r="J3" s="13">
        <f>COUNTIF($B$11:$B$200,"Test Ediliyor")</f>
        <v>0</v>
      </c>
      <c r="K3" s="9" t="inlineStr">
        <is>
          <t xml:space="preserve">Sonuçsuz</t>
        </is>
      </c>
      <c r="L3" s="13">
        <f>COUNTBLANK($B$11:$B$26)</f>
        <v>0</v>
      </c>
    </row>
    <row r="4" spans="1:13" ht="21.75" customHeight="1" x14ac:dyDescent="0.25">
      <c r="A4" s="6"/>
      <c r="B4" s="6"/>
      <c r="C4" s="9" t="inlineStr">
        <is>
          <t xml:space="preserve">Doküman Sürümü:</t>
        </is>
      </c>
      <c r="D4" s="10" t="inlineStr">
        <is>
          <t xml:space="preserve">1.5</t>
        </is>
      </c>
      <c r="E4" s="9" t="s">
        <v>15</v>
      </c>
      <c r="F4" s="11"/>
      <c r="G4" s="9" t="s">
        <v>16</v>
      </c>
      <c r="H4" s="13">
        <f>COUNTIF($B$11:$B$200,"Başarısız")</f>
        <v>0</v>
      </c>
      <c r="I4" s="9" t="inlineStr">
        <is>
          <t xml:space="preserve">Kısmen</t>
        </is>
      </c>
      <c r="J4" s="13">
        <f>COUNTIF($B$11:$B$200,"Kısmen")</f>
        <v>0</v>
      </c>
    </row>
    <row r="6" spans="1:13" ht="42" customHeight="1" x14ac:dyDescent="0.25">
      <c r="A6" s="5" t="s">
        <v>480</v>
      </c>
      <c r="B6" s="5"/>
      <c r="C6" s="4" t="inlineStr">
        <is>
          <t xml:space="preserve">Bu sayfada toplu ayar kontrolü, ek işlevler ve tekrar testleri bulunur. Ana sanity işaretli satırı her genel koşuya dahil edin. Karar bekliyor satırlarında önce beklenen davranışı netleştirin; bu başlıklar kesin hata bildirimi değildir.</t>
        </is>
      </c>
      <c r="D6" s="4"/>
      <c r="E6" s="4"/>
      <c r="F6" s="4"/>
      <c r="G6" s="4"/>
      <c r="H6" s="4"/>
    </row>
    <row r="7" spans="1:13" ht="30" customHeight="1" x14ac:dyDescent="0.25">
      <c r="A7" s="5" t="inlineStr">
        <is>
          <t xml:space="preserve">Test seçimi:</t>
        </is>
      </c>
      <c r="B7" s="5"/>
      <c r="C7" s="4" t="inlineStr">
        <is>
          <t xml:space="preserve">5 ön koşuldan sonra iki test sayfasında Ana sanity filtresini kullanın: 37 kontrol. Diğer kapsamlar: 28 genişletilmiş, 8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34.0" customHeight="1">
      <c r="A10" s="16" t="s">
        <v>36</v>
      </c>
      <c r="B10" s="16" t="s">
        <v>37</v>
      </c>
      <c r="C10" s="16" t="inlineStr">
        <is>
          <t xml:space="preserve">Test Kapsamı</t>
        </is>
      </c>
      <c r="D10" s="16" t="s">
        <v>486</v>
      </c>
      <c r="E10" s="16" t="inlineStr">
        <is>
          <t xml:space="preserve">Ön Koşullar</t>
        </is>
      </c>
      <c r="F10" s="16" t="s">
        <v>41</v>
      </c>
      <c r="G10" s="16" t="s">
        <v>42</v>
      </c>
      <c r="H10" s="16" t="s">
        <v>43</v>
      </c>
      <c r="I10" s="16" t="inlineStr">
        <is>
          <t xml:space="preserve">Kontrol Edilecek Ekran</t>
        </is>
      </c>
      <c r="J10" s="16" t="s">
        <v>45</v>
      </c>
      <c r="K10" s="16" t="s">
        <v>46</v>
      </c>
      <c r="L10" s="16" t="inlineStr">
        <is>
          <t xml:space="preserve">Not / Test Kaydı</t>
        </is>
      </c>
      <c r="M10" s="16" t="s">
        <v>48</v>
      </c>
    </row>
    <row r="11" spans="1:13" ht="138" customHeight="1" x14ac:dyDescent="0.25">
      <c r="A11" s="17" t="inlineStr">
        <is>
          <t xml:space="preserve">TC-ARB-R01</t>
        </is>
      </c>
      <c r="B11" s="18" t="inlineStr">
        <is>
          <t xml:space="preserve">Test Edilmedi</t>
        </is>
      </c>
      <c r="C11" s="19" t="inlineStr">
        <is>
          <t xml:space="preserve">Karar bekliyor</t>
        </is>
      </c>
      <c r="D11" s="19" t="inlineStr">
        <is>
          <t xml:space="preserve">Otomatik yön seçimi</t>
        </is>
      </c>
      <c r="E11" s="20" t="inlineStr">
        <is>
          <t xml:space="preserve">Otomatik seçimde hangi fiyat koşulunda hangi yönde işlem beklendiği netleştirilmiş; Spread test çifti hazır.</t>
        </is>
      </c>
      <c r="F11" s="20" t="inlineStr">
        <is>
          <t xml:space="preserve">1. Otomatik tarafı seçin; açılış ve kapanış kademelerine sıfırdan farklı değerler girin.
2. Kontrat/Paket limitini 1 yapın.
3. İki farklı fiyat yönünde oluşan emir yönünü ve fiyatını kaydedin.</t>
        </is>
      </c>
      <c r="G11" s="20" t="inlineStr">
        <is>
          <t xml:space="preserve">Emir yönü ve fiyatı kararlaştırılmış otomatik seçim kurallarına uyar.</t>
        </is>
      </c>
      <c r="H11" s="19"/>
      <c r="I11" s="19" t="inlineStr">
        <is>
          <t xml:space="preserve">İlgili ayar ekranı, emir listesi, paket ve pozisyon ekranları.</t>
        </is>
      </c>
      <c r="J11" s="18" t="inlineStr">
        <is>
          <t xml:space="preserve">Test</t>
        </is>
      </c>
      <c r="K11" s="18" t="inlineStr">
        <is>
          <t xml:space="preserve">Yüksek</t>
        </is>
      </c>
      <c r="L11" s="20" t="inlineStr">
        <is>
          <t xml:space="preserve">C03 ile aynı koşuda kontrol edilebilir.</t>
        </is>
      </c>
      <c r="M11" s="21"/>
    </row>
    <row r="12" spans="1:13" ht="111.75" customHeight="1" x14ac:dyDescent="0.25">
      <c r="A12" s="17" t="inlineStr">
        <is>
          <t xml:space="preserve">TC-ARB-R02</t>
        </is>
      </c>
      <c r="B12" s="18" t="inlineStr">
        <is>
          <t xml:space="preserve">Test Edilmedi</t>
        </is>
      </c>
      <c r="C12" s="19" t="inlineStr">
        <is>
          <t xml:space="preserve">Genişletilmiş</t>
        </is>
      </c>
      <c r="D12" s="19" t="inlineStr">
        <is>
          <t xml:space="preserve">Başlangıç saatinden önce emir gönderilmemesi</t>
        </is>
      </c>
      <c r="E12" s="20" t="inlineStr">
        <is>
          <t xml:space="preserve">Test seansı açık; başlangıç saati birkaç dakika sonrası, bitiş daha ileride; açılış koşulu hazırlanmış.</t>
        </is>
      </c>
      <c r="F12" s="20" t="inlineStr">
        <is>
          <t xml:space="preserve">1. Başlangıç saatini ve ekran saatini kaydedin.
2. Stratejiyi başlangıçtan önce başlatın; emirleri izleyin.
3. Başlangıç sonrasındaki davranışı kontrol edin.
4. Faiz ve Çift Vade türlerinde ayrı deneyin.</t>
        </is>
      </c>
      <c r="G12" s="20" t="inlineStr">
        <is>
          <t xml:space="preserve">Belirlenen başlangıçtan önce emir gönderilmez. Başlangıç sonrası diğer koşullar uygunsa işlem yapılır.</t>
        </is>
      </c>
      <c r="H12" s="19"/>
      <c r="I12" s="19" t="inlineStr">
        <is>
          <t xml:space="preserve">İlgili ayar ekranı, emir listesi, paket ve pozisyon ekranları.</t>
        </is>
      </c>
      <c r="J12" s="18" t="inlineStr">
        <is>
          <t xml:space="preserve">Test</t>
        </is>
      </c>
      <c r="K12" s="18" t="inlineStr">
        <is>
          <t xml:space="preserve">Yüksek</t>
        </is>
      </c>
      <c r="L12" s="20" t="inlineStr">
        <is>
          <t xml:space="preserve">Saatleri gerçek test koşusuna göre kaydedin.</t>
        </is>
      </c>
      <c r="M12" s="21"/>
    </row>
    <row r="13" spans="1:13" ht="111.75" customHeight="1" x14ac:dyDescent="0.25">
      <c r="A13" s="17" t="inlineStr">
        <is>
          <t xml:space="preserve">TC-ARB-R03</t>
        </is>
      </c>
      <c r="B13" s="18" t="inlineStr">
        <is>
          <t xml:space="preserve">Test Edilmedi</t>
        </is>
      </c>
      <c r="C13" s="19" t="inlineStr">
        <is>
          <t xml:space="preserve">Karar bekliyor</t>
        </is>
      </c>
      <c r="D13" s="19" t="inlineStr">
        <is>
          <t xml:space="preserve">Durdurma sırasında bekleyen spot emir</t>
        </is>
      </c>
      <c r="E13" s="20" t="inlineStr">
        <is>
          <t xml:space="preserve">Vadeli bacak gerçekleşmiş, spot emir bekliyor; durdurmada bu emre ne yapılacağı belirlenmiş.</t>
        </is>
      </c>
      <c r="F13" s="20" t="inlineStr">
        <is>
          <t xml:space="preserve">1. Spot emri ve açık paketi kaydedin.
2. Bitiş saatine ulaşılmasını bekleyin.
3. Spot emrin, paketin ve pozisyonun son durumunu kaydedin.</t>
        </is>
      </c>
      <c r="G13" s="20" t="inlineStr">
        <is>
          <t xml:space="preserve">Bekleyen spot emir ve yarım paket, kararlaştırılmış durdurma kuralına uygun ele alınır; son durum ekranlarda tutarlıdır.</t>
        </is>
      </c>
      <c r="H13" s="19"/>
      <c r="I13" s="19" t="inlineStr">
        <is>
          <t xml:space="preserve">İlgili ayar ekranı, emir listesi, paket ve pozisyon ekranları.</t>
        </is>
      </c>
      <c r="J13" s="18" t="inlineStr">
        <is>
          <t xml:space="preserve">Test</t>
        </is>
      </c>
      <c r="K13" s="18" t="inlineStr">
        <is>
          <t xml:space="preserve">Yüksek</t>
        </is>
      </c>
      <c r="L13" s="20" t="inlineStr">
        <is>
          <t xml:space="preserve">E01/A12 ile birlikte değerlendirin. Açık pozisyonun kendiliğinden kapatılacağını varsaymayın.</t>
        </is>
      </c>
      <c r="M13" s="21"/>
    </row>
    <row r="14" spans="1:13" ht="111.75" customHeight="1" x14ac:dyDescent="0.25">
      <c r="A14" s="17" t="inlineStr">
        <is>
          <t xml:space="preserve">TC-ARB-R04</t>
        </is>
      </c>
      <c r="B14" s="18" t="inlineStr">
        <is>
          <t xml:space="preserve">Test Edilmedi</t>
        </is>
      </c>
      <c r="C14" s="19" t="inlineStr">
        <is>
          <t xml:space="preserve">Genişletilmiş</t>
        </is>
      </c>
      <c r="D14" s="19" t="inlineStr">
        <is>
          <t xml:space="preserve">Çift Vade için ikinci bacak miktarı</t>
        </is>
      </c>
      <c r="E14" s="20" t="inlineStr">
        <is>
          <t xml:space="preserve">İki farklı vade seçilmiş; iki bacak için beklenen kontrat miktarı kaydedilmiş.</t>
        </is>
      </c>
      <c r="F14" s="20" t="inlineStr">
        <is>
          <t xml:space="preserve">1. Opsiyonel Ayarlar bölümünü açıp miktarı kaydedin.
2. Kontrat ve Paket Limitini 1 yapın.
3. Birinci bacak gerçekleşince ikinci bacak miktarını kontrol edin.
4. Çift Vade Spread ve Çift Vade Faiz türlerinde tekrarlayın.</t>
        </is>
      </c>
      <c r="G14" s="20" t="inlineStr">
        <is>
          <t xml:space="preserve">1 kontratlık birinci bacak için ikinci bacak 1 kontrattır; seçilen ayar miktarı yanlış büyütmez.</t>
        </is>
      </c>
      <c r="H14" s="19"/>
      <c r="I14" s="19" t="inlineStr">
        <is>
          <t xml:space="preserve">İlgili ayar ekranı, emir listesi, paket ve pozisyon ekranları.</t>
        </is>
      </c>
      <c r="J14" s="18" t="inlineStr">
        <is>
          <t xml:space="preserve">Test</t>
        </is>
      </c>
      <c r="K14" s="18" t="inlineStr">
        <is>
          <t xml:space="preserve">Yüksek</t>
        </is>
      </c>
      <c r="L14" s="20" t="inlineStr">
        <is>
          <t xml:space="preserve">Varsayılan miktar ve değiştirilmiş miktar ayrı kontrol edilir.</t>
        </is>
      </c>
      <c r="M14" s="21"/>
    </row>
    <row r="15" spans="1:13" ht="124.5" customHeight="1" x14ac:dyDescent="0.25">
      <c r="A15" s="17" t="inlineStr">
        <is>
          <t xml:space="preserve">TC-ARB-R05</t>
        </is>
      </c>
      <c r="B15" s="18" t="inlineStr">
        <is>
          <t xml:space="preserve">Test Edilmedi</t>
        </is>
      </c>
      <c r="C15" s="19" t="inlineStr">
        <is>
          <t xml:space="preserve">Genişletilmiş</t>
        </is>
      </c>
      <c r="D15" s="19" t="inlineStr">
        <is>
          <t xml:space="preserve">Tatil döneminde gün ve teorik fiyat hesabı</t>
        </is>
      </c>
      <c r="E15" s="20" t="inlineStr">
        <is>
          <t xml:space="preserve">Tatil içeren tarih aralığı; kullanılacak takvim ve beklenen hesap sonucu test sorumlusunca hazırlanmış.</t>
        </is>
      </c>
      <c r="F15" s="20" t="inlineStr">
        <is>
          <t xml:space="preserve">1. Vade tarihini, V.K.G. ve teorik fiyatı kaydedin.
2. Tatil/takas günlerini içeren beklenen hesapla karşılaştırın.
3. Fark varsa kullanılan tarihleri ve fiyatları yazın.</t>
        </is>
      </c>
      <c r="G15" s="20" t="inlineStr">
        <is>
          <t xml:space="preserve">Gösterilen süre ve teorik fiyat, aynı tarih ve fiyatlarla hazırlanan beklenen hesapla tutarlıdır.</t>
        </is>
      </c>
      <c r="H15" s="19"/>
      <c r="I15" s="19" t="inlineStr">
        <is>
          <t xml:space="preserve">İlgili ayar ekranı, emir listesi, paket ve pozisyon ekranları.</t>
        </is>
      </c>
      <c r="J15" s="18" t="inlineStr">
        <is>
          <t xml:space="preserve">Prod</t>
        </is>
      </c>
      <c r="K15" s="18" t="inlineStr">
        <is>
          <t xml:space="preserve">Yüksek</t>
        </is>
      </c>
      <c r="L15" s="20" t="inlineStr">
        <is>
          <t xml:space="preserve">Beklenen hesap hazırlanmadıysa Bloke seçin.</t>
        </is>
      </c>
      <c r="M15" s="21"/>
    </row>
    <row r="16" spans="1:13" ht="138" customHeight="1" x14ac:dyDescent="0.25">
      <c r="A16" s="17" t="inlineStr">
        <is>
          <t xml:space="preserve">TC-ARB-R06</t>
        </is>
      </c>
      <c r="B16" s="18" t="inlineStr">
        <is>
          <t xml:space="preserve">Test Edilmedi</t>
        </is>
      </c>
      <c r="C16" s="19" t="inlineStr">
        <is>
          <t xml:space="preserve">Ana sanity</t>
        </is>
      </c>
      <c r="D16" s="19" t="inlineStr">
        <is>
          <t xml:space="preserve">Toplu ayar kaydetme ve diğer alanları koruma</t>
        </is>
      </c>
      <c r="E16" s="20" t="inlineStr">
        <is>
          <t xml:space="preserve">İki test çifti seçilmiş; başlangıç ayarları not edilmiş.</t>
        </is>
      </c>
      <c r="F16" s="20" t="inlineStr">
        <is>
          <t xml:space="preserve">1. İki çiftin Paket Limitini tek tek 5 yapın.
2. Toplu ayarda yalnız Paket Limitini 0 yapıp diğer alanları koruyarak kaydedin.
3. Her çiftin ayarını yeniden açın ve sayfayı yenileyin.
4. Değişen alanı ve değiştirilmemesi gereken alanları karşılaştırın.
5. Başlangıç ayarlarını geri yükleyin.</t>
        </is>
      </c>
      <c r="G16" s="20" t="inlineStr">
        <is>
          <t xml:space="preserve">İki çiftte Paket Limiti 0 olarak korunur; dokunulmayan ayarlar değişmez. Başarısız kayıt varsa kullanıcıya bildirilir.</t>
        </is>
      </c>
      <c r="H16" s="19"/>
      <c r="I16" s="19" t="inlineStr">
        <is>
          <t xml:space="preserve">İlgili ayar ekranı, emir listesi, paket ve pozisyon ekranları.</t>
        </is>
      </c>
      <c r="J16" s="18" t="inlineStr">
        <is>
          <t xml:space="preserve">Test</t>
        </is>
      </c>
      <c r="K16" s="18" t="inlineStr">
        <is>
          <t xml:space="preserve">Yüksek</t>
        </is>
      </c>
      <c r="L16" s="20" t="inlineStr">
        <is>
          <t xml:space="preserve">Bu kontrol sırasında stratejiler durmuş olmalıdır.</t>
        </is>
      </c>
      <c r="M16" s="21"/>
    </row>
    <row r="17" spans="1:13" ht="99" customHeight="1" x14ac:dyDescent="0.25">
      <c r="A17" s="17" t="inlineStr">
        <is>
          <t xml:space="preserve">TC-ARB-R07</t>
        </is>
      </c>
      <c r="B17" s="18" t="inlineStr">
        <is>
          <t xml:space="preserve">Test Edilmedi</t>
        </is>
      </c>
      <c r="C17" s="19" t="inlineStr">
        <is>
          <t xml:space="preserve">Karar bekliyor</t>
        </is>
      </c>
      <c r="D17" s="19" t="inlineStr">
        <is>
          <t xml:space="preserve">Temettü değerinin birimi</t>
        </is>
      </c>
      <c r="E17" s="20" t="inlineStr">
        <is>
          <t xml:space="preserve">Temettü alanının TL/kuruş birimi ve beklenen fiyat etkisi belirlenmiş.</t>
        </is>
      </c>
      <c r="F17" s="20" t="inlineStr">
        <is>
          <t xml:space="preserve">1. Temettü 0 iken fiyatı kaydedin.
2. Temettüye 1 girip kaydedin; ayarı yeniden açın.
3. Emir fiyatı ve hesaplanan değeri beklenen etkiyle karşılaştırın.</t>
        </is>
      </c>
      <c r="G17" s="20" t="inlineStr">
        <is>
          <t xml:space="preserve">Girilen temettü, belirlenmiş birimle uygulanır; ayar ve gösterilen fiyatlar tutarlıdır.</t>
        </is>
      </c>
      <c r="H17" s="19"/>
      <c r="I17" s="19" t="inlineStr">
        <is>
          <t xml:space="preserve">İlgili ayar ekranı, emir listesi, paket ve pozisyon ekranları.</t>
        </is>
      </c>
      <c r="J17" s="18" t="inlineStr">
        <is>
          <t xml:space="preserve">Test</t>
        </is>
      </c>
      <c r="K17" s="18" t="inlineStr">
        <is>
          <t xml:space="preserve">Orta</t>
        </is>
      </c>
      <c r="L17" s="20" t="inlineStr">
        <is>
          <t xml:space="preserve">Birim belirlenmeden 1 girişinin anlamını tahmin etmeyin.</t>
        </is>
      </c>
      <c r="M17" s="21"/>
    </row>
    <row r="18" spans="1:13" ht="111.75" customHeight="1" x14ac:dyDescent="0.25">
      <c r="A18" s="17" t="inlineStr">
        <is>
          <t xml:space="preserve">TC-ARB-R08</t>
        </is>
      </c>
      <c r="B18" s="18" t="inlineStr">
        <is>
          <t xml:space="preserve">Test Edilmedi</t>
        </is>
      </c>
      <c r="C18" s="19" t="inlineStr">
        <is>
          <t xml:space="preserve">Genişletilmiş</t>
        </is>
      </c>
      <c r="D18" s="19" t="inlineStr">
        <is>
          <t xml:space="preserve">İlk eklemede dayanak seçimi ve ayar kilidi</t>
        </is>
      </c>
      <c r="E18" s="20" t="inlineStr">
        <is>
          <t xml:space="preserve">Yeni bir strateji kimliği; seçilecek farklı dayanak/vadeli çifti ve test hesabı hazır.</t>
        </is>
      </c>
      <c r="F18" s="20" t="inlineStr">
        <is>
          <t xml:space="preserve">1. Çift ekleme ekranında farklı dayanak/vadeli seçip ekleyin.
2. Ayarları açın; dayanak seçiminin değiştirilemediğini kontrol edin.
3. Test koşulunda ikinci bacak emrinin seçilen dayanağa gittiğini kontrol edin.</t>
        </is>
      </c>
      <c r="G18" s="20" t="inlineStr">
        <is>
          <t xml:space="preserve">Çift seçilen dayanakla oluşturulur; ayarlarda dayanak alanı pasiftir ve değiştirilemez. İkinci bacak emri seçilen dayanağa gider.</t>
        </is>
      </c>
      <c r="H18" s="19"/>
      <c r="I18" s="19" t="inlineStr">
        <is>
          <t xml:space="preserve">İlgili ayar ekranı, emir listesi, paket ve pozisyon ekranları.</t>
        </is>
      </c>
      <c r="J18" s="18" t="inlineStr">
        <is>
          <t xml:space="preserve">Test</t>
        </is>
      </c>
      <c r="K18" s="18" t="inlineStr">
        <is>
          <t xml:space="preserve">Orta</t>
        </is>
      </c>
      <c r="L18" s="20" t="inlineStr">
        <is>
          <t xml:space="preserve">Aynı mevcut stratejiyi yeniden eklemek yerine yeni strateji kimliği kullanın.</t>
        </is>
      </c>
      <c r="M18" s="21"/>
    </row>
    <row r="19" spans="1:13" x14ac:dyDescent="0.25" ht="99.0" customHeight="1">
      <c r="A19" s="17" t="inlineStr">
        <is>
          <t xml:space="preserve">TC-ARB-R10</t>
        </is>
      </c>
      <c r="B19" s="18" t="inlineStr">
        <is>
          <t xml:space="preserve">Test Edilmedi</t>
        </is>
      </c>
      <c r="C19" s="19" t="inlineStr">
        <is>
          <t xml:space="preserve">Karar bekliyor</t>
        </is>
      </c>
      <c r="D19" s="19" t="inlineStr">
        <is>
          <t xml:space="preserve">Geçersiz ayarların kaydedilmemesi</t>
        </is>
      </c>
      <c r="E19" s="20" t="inlineStr">
        <is>
          <t xml:space="preserve">Zorunlu alanlar, geçerli sıfır değerleri ve saat sırası test sorumlusuyla netleştirilmiş.</t>
        </is>
      </c>
      <c r="F19" s="20" t="inlineStr">
        <is>
          <t xml:space="preserve">1. Başlangıç saatini bitişten sonraya ayarlayıp kaydetmeyi deneyin.
2. Zorunlu olduğu belirlenen bir alanı boş bırakın.
3. Negatif kabul etmeyen alana negatif değer girin.
4. Her denemeden sonra ayarı yeniden açıp eski geçerli değerin korunduğunu kontrol edin.</t>
        </is>
      </c>
      <c r="G19" s="20" t="inlineStr">
        <is>
          <t xml:space="preserve">Geçersiz giriş kaydedilmez; ilgili alan için anlaşılır uyarı verilir. Geçerli sıfır değerleri yanlışlıkla engellenmez.</t>
        </is>
      </c>
      <c r="H19" s="19"/>
      <c r="I19" s="19" t="inlineStr">
        <is>
          <t xml:space="preserve">İlgili ayar ekranı, emir listesi, paket ve pozisyon ekranları.</t>
        </is>
      </c>
      <c r="J19" s="18" t="inlineStr">
        <is>
          <t xml:space="preserve">Test</t>
        </is>
      </c>
      <c r="K19" s="18" t="inlineStr">
        <is>
          <t xml:space="preserve">Orta</t>
        </is>
      </c>
      <c r="L19" s="20" t="inlineStr">
        <is>
          <t xml:space="preserve">Kurallar netleşince ilgili temel örnekler ana sanity kapsamına alınabilir.</t>
        </is>
      </c>
      <c r="M19" s="21"/>
    </row>
    <row r="20" spans="1:13" x14ac:dyDescent="0.25" ht="99.0" customHeight="1">
      <c r="A20" s="17" t="inlineStr">
        <is>
          <t xml:space="preserve">TC-ARB-R11</t>
        </is>
      </c>
      <c r="B20" s="18" t="inlineStr">
        <is>
          <t xml:space="preserve">Test Edilmedi</t>
        </is>
      </c>
      <c r="C20" s="19" t="inlineStr">
        <is>
          <t xml:space="preserve">Genişletilmiş</t>
        </is>
      </c>
      <c r="D20" s="19" t="inlineStr">
        <is>
          <t xml:space="preserve">Kullanılamayan kanalda kullanıcı bildirimi</t>
        </is>
      </c>
      <c r="E20" s="20" t="inlineStr">
        <is>
          <t xml:space="preserve">Test sorumlusunca kullanılamayan kanal için hazırlanmış test hesabı.</t>
        </is>
      </c>
      <c r="F20" s="20" t="inlineStr">
        <is>
          <t xml:space="preserve">1. Hazırlanmış hesapta ilgili kanalı seçmeyi deneyin.
2. Seçim yapılabiliyorsa test işlemindeki sonucu izleyin.
3. Uyarıyı ve emir durumunu kaydedin.</t>
        </is>
      </c>
      <c r="G20" s="20" t="inlineStr">
        <is>
          <t xml:space="preserve">Kullanılamayan kanal seçilemez veya işlem yapılamadığı açıkça bildirilir. Gönderilmemiş emir başarılı gösterilmez.</t>
        </is>
      </c>
      <c r="H20" s="19"/>
      <c r="I20" s="19" t="inlineStr">
        <is>
          <t xml:space="preserve">İlgili ayar ekranı, emir listesi, paket ve pozisyon ekranları.</t>
        </is>
      </c>
      <c r="J20" s="18" t="inlineStr">
        <is>
          <t xml:space="preserve">Test</t>
        </is>
      </c>
      <c r="K20" s="18" t="inlineStr">
        <is>
          <t xml:space="preserve">Orta</t>
        </is>
      </c>
      <c r="L20" s="20" t="inlineStr">
        <is>
          <t xml:space="preserve">Kanal hazırlığı testçinin görevi değildir; hazır koşul yoksa Bloke seçin.</t>
        </is>
      </c>
      <c r="M20" s="21"/>
    </row>
    <row r="21" spans="1:13" ht="111.75" customHeight="1" x14ac:dyDescent="0.25">
      <c r="A21" s="17" t="inlineStr">
        <is>
          <t xml:space="preserve">TC-ARB-R12</t>
        </is>
      </c>
      <c r="B21" s="18" t="inlineStr">
        <is>
          <t xml:space="preserve">Test Edilmedi</t>
        </is>
      </c>
      <c r="C21" s="19" t="inlineStr">
        <is>
          <t xml:space="preserve">Karar bekliyor</t>
        </is>
      </c>
      <c r="D21" s="19" t="inlineStr">
        <is>
          <t xml:space="preserve">Emir tutarı sınırının uygulanması</t>
        </is>
      </c>
      <c r="E21" s="20" t="inlineStr">
        <is>
          <t xml:space="preserve">Geçerli tutar limiti ve limit aşımında beklenen davranış belirlenmiş test hesabı.</t>
        </is>
      </c>
      <c r="F21" s="20" t="inlineStr">
        <is>
          <t xml:space="preserve">1. Sınır altı, sınırda ve sınır üstü miktarları önceden hesaplayın.
2. Hazırlanmış test koşullarında ayrı ayrı deneyin.
3. İki bacağın emirlerini, ret bildirimlerini ve miktarları kaydedin.</t>
        </is>
      </c>
      <c r="G21" s="20" t="inlineStr">
        <is>
          <t xml:space="preserve">Emir tutarı ve iki bacak, kararlaştırılmış limit kuralına uyar; limit aşımı kullanıcı tarafından anlaşılır.</t>
        </is>
      </c>
      <c r="H21" s="19"/>
      <c r="I21" s="19" t="inlineStr">
        <is>
          <t xml:space="preserve">İlgili ayar ekranı, emir listesi, paket ve pozisyon ekranları.</t>
        </is>
      </c>
      <c r="J21" s="18" t="inlineStr">
        <is>
          <t xml:space="preserve">Test</t>
        </is>
      </c>
      <c r="K21" s="18" t="inlineStr">
        <is>
          <t xml:space="preserve">Yüksek</t>
        </is>
      </c>
      <c r="L21" s="20" t="inlineStr">
        <is>
          <t xml:space="preserve">Limit değeri ve uygulanacak kural belirlenmeden test edilmez.</t>
        </is>
      </c>
      <c r="M21" s="21"/>
    </row>
    <row r="22" spans="1:13" x14ac:dyDescent="0.25" ht="112.0" customHeight="1">
      <c r="A22" s="17" t="inlineStr">
        <is>
          <t xml:space="preserve">TC-ARB-R14</t>
        </is>
      </c>
      <c r="B22" s="18" t="inlineStr">
        <is>
          <t xml:space="preserve">Test Edilmedi</t>
        </is>
      </c>
      <c r="C22" s="19" t="inlineStr">
        <is>
          <t xml:space="preserve">Genişletilmiş</t>
        </is>
      </c>
      <c r="D22" s="19" t="inlineStr">
        <is>
          <t xml:space="preserve">Emir bağlantısı yokken kullanıcı bildirimi</t>
        </is>
      </c>
      <c r="E22" s="20" t="inlineStr">
        <is>
          <t xml:space="preserve">Test sorumlusunca emir gönderilemeyen durum hazırlanmış.</t>
        </is>
      </c>
      <c r="F22" s="20" t="inlineStr">
        <is>
          <t xml:space="preserve">1. Arbitraj ekranını açın.
2. Hazırlanmış çiftte işlem başlatmayı deneyin.
3. Bağlantı/işlem uyarısını ve emir listesini kontrol edin.</t>
        </is>
      </c>
      <c r="G22" s="20" t="inlineStr">
        <is>
          <t xml:space="preserve">İşlem yapılamadığı kullanıcıya anlaşılır biçimde bildirilir; gönderilmeyen emir başarılı gösterilmez.</t>
        </is>
      </c>
      <c r="H22" s="19"/>
      <c r="I22" s="19" t="inlineStr">
        <is>
          <t xml:space="preserve">İlgili ayar ekranı, emir listesi, paket ve pozisyon ekranları.</t>
        </is>
      </c>
      <c r="J22" s="18" t="inlineStr">
        <is>
          <t xml:space="preserve">Test</t>
        </is>
      </c>
      <c r="K22" s="18" t="inlineStr">
        <is>
          <t xml:space="preserve">Yüksek</t>
        </is>
      </c>
      <c r="L22" s="20" t="inlineStr">
        <is>
          <t xml:space="preserve">Testçi bağlantı ayarlarını değiştirmez; koşul hazır değilse Bloke seçer.</t>
        </is>
      </c>
      <c r="M22" s="21"/>
    </row>
    <row r="23" spans="1:13" ht="86.25" customHeight="1" x14ac:dyDescent="0.25">
      <c r="A23" s="17" t="inlineStr">
        <is>
          <t xml:space="preserve">TC-ARB-R15</t>
        </is>
      </c>
      <c r="B23" s="18" t="inlineStr">
        <is>
          <t xml:space="preserve">Test Edilmedi</t>
        </is>
      </c>
      <c r="C23" s="19" t="inlineStr">
        <is>
          <t xml:space="preserve">Genişletilmiş</t>
        </is>
      </c>
      <c r="D23" s="19" t="inlineStr">
        <is>
          <t xml:space="preserve">Bağlantı kesintisi sonrası pozisyon tutarlılığı</t>
        </is>
      </c>
      <c r="E23" s="20" t="inlineStr">
        <is>
          <t xml:space="preserve">Test sorumlusu kontrollü kesintili koşulu hazırlamış; başlangıç emir ve pozisyonları kaydedilmiş.</t>
        </is>
      </c>
      <c r="F23" s="20" t="inlineStr">
        <is>
          <t xml:space="preserve">1. Kesinti sırasında oluşan işlem sonucunu ve bildirimi kaydedin.
2. Bağlantı geri geldiğinde emir geçmişini inceleyin.
3. Gerçekleşen emir miktarlarını paket ve pozisyonlarla karşılaştırın.</t>
        </is>
      </c>
      <c r="G23" s="20" t="inlineStr">
        <is>
          <t xml:space="preserve">Gerçekleşmeyen emir pozisyona eklenmez; gerçekleşen miktarlar paket ve pozisyonlarla tutarlıdır.</t>
        </is>
      </c>
      <c r="H23" s="19"/>
      <c r="I23" s="19" t="inlineStr">
        <is>
          <t xml:space="preserve">İlgili ayar ekranı, emir listesi, paket ve pozisyon ekranları.</t>
        </is>
      </c>
      <c r="J23" s="18" t="inlineStr">
        <is>
          <t xml:space="preserve">Test</t>
        </is>
      </c>
      <c r="K23" s="18" t="inlineStr">
        <is>
          <t xml:space="preserve">Orta</t>
        </is>
      </c>
      <c r="L23" s="20" t="inlineStr">
        <is>
          <t xml:space="preserve">Kesinti hazırlığı testçinin görevi değildir.</t>
        </is>
      </c>
      <c r="M23" s="21"/>
    </row>
    <row r="24" spans="1:13" ht="99" customHeight="1" x14ac:dyDescent="0.25">
      <c r="A24" s="17" t="inlineStr">
        <is>
          <t xml:space="preserve">TC-ARB-R16</t>
        </is>
      </c>
      <c r="B24" s="18" t="inlineStr">
        <is>
          <t xml:space="preserve">Test Edilmedi</t>
        </is>
      </c>
      <c r="C24" s="19" t="inlineStr">
        <is>
          <t xml:space="preserve">Genişletilmiş</t>
        </is>
      </c>
      <c r="D24" s="19" t="inlineStr">
        <is>
          <t xml:space="preserve">İptal edilen emrin ekranda izlenmesi</t>
        </is>
      </c>
      <c r="E24" s="20" t="inlineStr">
        <is>
          <t xml:space="preserve">Bekleyen test emri var; emir numarası kaydedilmiş.</t>
        </is>
      </c>
      <c r="F24" s="20" t="inlineStr">
        <is>
          <t xml:space="preserve">1. Bekleyen emri iptal edin.
2. Pasif Emirler panelini ve Emir Geçmişini kontrol edin.
3. Emir numarası, iptal durumu ve varsa gerçekleşen miktarı karşılaştırın.</t>
        </is>
      </c>
      <c r="G24" s="20" t="inlineStr">
        <is>
          <t xml:space="preserve">İptal sonucu doğru emirde görünür; kalan miktar açık emir olarak beklemez. Önceden gerçekleşmiş miktar kaybolmaz.</t>
        </is>
      </c>
      <c r="H24" s="19"/>
      <c r="I24" s="19" t="inlineStr">
        <is>
          <t xml:space="preserve">İlgili ayar ekranı, emir listesi, paket ve pozisyon ekranları.</t>
        </is>
      </c>
      <c r="J24" s="18" t="inlineStr">
        <is>
          <t xml:space="preserve">Test</t>
        </is>
      </c>
      <c r="K24" s="18" t="inlineStr">
        <is>
          <t xml:space="preserve">Az</t>
        </is>
      </c>
      <c r="L24" s="20" t="inlineStr">
        <is>
          <t xml:space="preserve">İptal isteği ile iptalin tamamlanması ayrı gözlenir.</t>
        </is>
      </c>
      <c r="M24" s="21"/>
    </row>
    <row r="25" spans="1:13" ht="86.25" customHeight="1" x14ac:dyDescent="0.25">
      <c r="A25" s="17" t="inlineStr">
        <is>
          <t xml:space="preserve">TC-ARB-R17</t>
        </is>
      </c>
      <c r="B25" s="18" t="inlineStr">
        <is>
          <t xml:space="preserve">Test Edilmedi</t>
        </is>
      </c>
      <c r="C25" s="19" t="inlineStr">
        <is>
          <t xml:space="preserve">Karar bekliyor</t>
        </is>
      </c>
      <c r="D25" s="19" t="inlineStr">
        <is>
          <t xml:space="preserve">Uygulama yeniden açılınca emir ve pozisyonlar</t>
        </is>
      </c>
      <c r="E25" s="20" t="inlineStr">
        <is>
          <t xml:space="preserve">Yeniden açılış koşulu test sorumlusunca hazırlanmış; bekleyen emirlere uygulanacak kural belirlenmiş.</t>
        </is>
      </c>
      <c r="F25" s="20" t="inlineStr">
        <is>
          <t xml:space="preserve">1. Önce emir, paket ve pozisyonları kaydedin.
2. Yeniden açılış sonrası aynı hesabı ve çifti açın.
3. Emirleri, paketleri ve pozisyonları önceki kayıt ve gerçekleşmelerle karşılaştırın.</t>
        </is>
      </c>
      <c r="G25" s="20" t="inlineStr">
        <is>
          <t xml:space="preserve">Emirler kararlaştırılmış kurala göre ele alınır; paket ve pozisyonlar gerçek gerçekleşmelerle tutarlı görünür.</t>
        </is>
      </c>
      <c r="H25" s="19"/>
      <c r="I25" s="19" t="inlineStr">
        <is>
          <t xml:space="preserve">İlgili ayar ekranı, emir listesi, paket ve pozisyon ekranları.</t>
        </is>
      </c>
      <c r="J25" s="18" t="inlineStr">
        <is>
          <t xml:space="preserve">Test</t>
        </is>
      </c>
      <c r="K25" s="18" t="inlineStr">
        <is>
          <t xml:space="preserve">Az</t>
        </is>
      </c>
      <c r="L25" s="20" t="inlineStr">
        <is>
          <t xml:space="preserve">Sayfa yenileme ile bu özel yeniden açılış kontrolünü aynı saymayın.</t>
        </is>
      </c>
      <c r="M25" s="21"/>
    </row>
    <row r="26" spans="1:13" ht="86.25" customHeight="1" x14ac:dyDescent="0.25">
      <c r="A26" s="17" t="inlineStr">
        <is>
          <t xml:space="preserve">TC-ARB-R19</t>
        </is>
      </c>
      <c r="B26" s="18" t="inlineStr">
        <is>
          <t xml:space="preserve">Test Edilmedi</t>
        </is>
      </c>
      <c r="C26" s="19" t="inlineStr">
        <is>
          <t xml:space="preserve">Genişletilmiş</t>
        </is>
      </c>
      <c r="D26" s="19" t="inlineStr">
        <is>
          <t xml:space="preserve">Çift Vade türlerinin ekranlarda doğru görünmesi</t>
        </is>
      </c>
      <c r="E26" s="20" t="inlineStr">
        <is>
          <t xml:space="preserve">Bir Çift Vade Spread ve bir Çift Vade Faiz çifti hazır.</t>
        </is>
      </c>
      <c r="F26" s="20" t="inlineStr">
        <is>
          <t xml:space="preserve">1. Her iki çiftin ayarlarını açıp kullanılan faiz/kademe değerlerini kaydedin.
2. Takip tablosundaki ilgili alanlarla karşılaştırın.
3. Paket ekranlarında türü ve değerleri kontrol edin.</t>
        </is>
      </c>
      <c r="G26" s="20" t="inlineStr">
        <is>
          <t xml:space="preserve">Her tür kendi faiz/kademe alanlarıyla tutarlı görünür; uygulanmayan alanlar yanıltıcı değer göstermez.</t>
        </is>
      </c>
      <c r="H26" s="19"/>
      <c r="I26" s="19" t="inlineStr">
        <is>
          <t xml:space="preserve">İlgili ayar ekranı, emir listesi, paket ve pozisyon ekranları.</t>
        </is>
      </c>
      <c r="J26" s="18" t="inlineStr">
        <is>
          <t xml:space="preserve">Test</t>
        </is>
      </c>
      <c r="K26" s="18" t="inlineStr">
        <is>
          <t xml:space="preserve">Az</t>
        </is>
      </c>
      <c r="L26" s="20" t="inlineStr">
        <is>
          <t xml:space="preserve">İki tür ayrı ayrı değerlendirilir.</t>
        </is>
      </c>
      <c r="M26" s="21"/>
    </row>
    <row r="27" spans="1:13" ht="99" customHeight="1" x14ac:dyDescent="0.25">
      <c r="A27" s="17"/>
      <c r="B27" s="18"/>
      <c r="C27" s="19"/>
      <c r="D27" s="19"/>
      <c r="E27" s="20"/>
      <c r="F27" s="20"/>
      <c r="G27" s="20"/>
      <c r="H27" s="19"/>
      <c r="I27" s="19"/>
      <c r="J27" s="18"/>
      <c r="K27" s="18"/>
      <c r="L27" s="20"/>
      <c r="M27" s="21"/>
    </row>
    <row r="28" spans="1:13" ht="99" customHeight="1" x14ac:dyDescent="0.25">
      <c r="A28" s="17"/>
      <c r="B28" s="18"/>
      <c r="C28" s="19"/>
      <c r="D28" s="19"/>
      <c r="E28" s="20"/>
      <c r="F28" s="20"/>
      <c r="G28" s="20"/>
      <c r="H28" s="19"/>
      <c r="I28" s="19"/>
      <c r="J28" s="18"/>
      <c r="K28" s="18"/>
      <c r="L28" s="20"/>
      <c r="M28" s="21"/>
    </row>
    <row r="29" spans="1:13" x14ac:dyDescent="0.25" ht="112.0" customHeight="1">
      <c r="A29" s="17"/>
      <c r="B29" s="18"/>
      <c r="C29" s="19"/>
      <c r="D29" s="19"/>
      <c r="E29" s="20"/>
      <c r="F29" s="20"/>
      <c r="G29" s="20"/>
      <c r="H29" s="19"/>
      <c r="I29" s="19"/>
      <c r="J29" s="18"/>
      <c r="K29" s="18"/>
      <c r="L29" s="20"/>
      <c r="M29" s="21"/>
    </row>
  </sheetData>
  <autoFilter ref="A10:M26"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fRule type="cellIs" dxfId="9" priority="10" operator="equal">
      <formula>"Kısmen"</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42" customWidth="1"/>
    <col min="7" max="7" width="13" customWidth="1"/>
  </cols>
  <sheetData>
    <row r="1" spans="1:7" x14ac:dyDescent="0.25" ht="25.0" customHeight="1">
      <c r="A1" s="8" t="inlineStr">
        <is>
          <t xml:space="preserve">ARBİTRAJ — AYAR VE TEST REHBERİ</t>
        </is>
      </c>
      <c r="B1" s="8"/>
      <c r="C1" s="8"/>
      <c r="D1" s="8"/>
    </row>
    <row r="2" spans="1:7" ht="39.75" customHeight="1" x14ac:dyDescent="0.25">
      <c r="A2" s="7" t="inlineStr">
        <is>
          <t xml:space="preserve">Ekrandaki ayarların anlamı ve kontrol sırasında kullanılacak örnekler. Sayısal değerler örnektir; gerçek hesap ve enstrümanı test öncesinde kaydedin. Açıklamalar testin başarıyla çalıştırıldığını göstermez.</t>
        </is>
      </c>
      <c r="B2" s="7"/>
      <c r="C2" s="7"/>
      <c r="D2" s="7"/>
      <c r="E2" s="7"/>
      <c r="F2" s="7"/>
    </row>
    <row r="3" spans="1:7" ht="39.75" customHeight="1" x14ac:dyDescent="0.25">
      <c r="A3" s="7"/>
      <c r="B3" s="7"/>
      <c r="C3" s="7"/>
      <c r="D3" s="7"/>
      <c r="E3" s="7"/>
      <c r="F3" s="7"/>
    </row>
    <row r="5" spans="1:7" ht="25.5" customHeight="1" x14ac:dyDescent="0.25">
      <c r="A5" s="16" t="inlineStr">
        <is>
          <t xml:space="preserve">Ref</t>
        </is>
      </c>
      <c r="B5" s="16" t="inlineStr">
        <is>
          <t xml:space="preserve">Ayar / Hazırlık</t>
        </is>
      </c>
      <c r="C5" s="16" t="inlineStr">
        <is>
          <t xml:space="preserve">Değer / Birim</t>
        </is>
      </c>
      <c r="D5" s="16" t="inlineStr">
        <is>
          <t xml:space="preserve">Kullanım</t>
        </is>
      </c>
      <c r="E5" s="16" t="inlineStr">
        <is>
          <t xml:space="preserve">Kontrol Edilecek Nokta</t>
        </is>
      </c>
      <c r="F5" s="16" t="inlineStr">
        <is>
          <t xml:space="preserve">İlgili Test</t>
        </is>
      </c>
      <c r="G5" s="24"/>
    </row>
    <row r="6" spans="1:7" x14ac:dyDescent="0.25" ht="125.0" customHeight="1">
      <c r="A6" s="18" t="inlineStr">
        <is>
          <t xml:space="preserve">P01</t>
        </is>
      </c>
      <c r="B6" s="19" t="inlineStr">
        <is>
          <t xml:space="preserve">Test hesabı</t>
        </is>
      </c>
      <c r="C6" s="19" t="inlineStr">
        <is>
          <t xml:space="preserve">Hesap numarası</t>
        </is>
      </c>
      <c r="D6" s="18" t="inlineStr">
        <is>
          <t xml:space="preserve">Her koşu</t>
        </is>
      </c>
      <c r="E6" s="20" t="inlineStr">
        <is>
          <t xml:space="preserve">Yetkiyi, başlangıç pozisyonunu ve test için ayrılmış hesabı kaydedin.</t>
        </is>
      </c>
      <c r="F6" s="20" t="inlineStr">
        <is>
          <t xml:space="preserve">G01–G05</t>
        </is>
      </c>
      <c r="G6" s="24"/>
    </row>
    <row r="7" spans="1:7" ht="135.75" customHeight="1" x14ac:dyDescent="0.25">
      <c r="A7" s="18" t="inlineStr">
        <is>
          <t xml:space="preserve">P02</t>
        </is>
      </c>
      <c r="B7" s="19" t="inlineStr">
        <is>
          <t xml:space="preserve">Strateji türü</t>
        </is>
      </c>
      <c r="C7" s="19" t="inlineStr">
        <is>
          <t xml:space="preserve">Faiz / Spread / Çift Vade</t>
        </is>
      </c>
      <c r="D7" s="18" t="inlineStr">
        <is>
          <t xml:space="preserve">Tür seçimi</t>
        </is>
      </c>
      <c r="E7" s="20" t="inlineStr">
        <is>
          <t xml:space="preserve">Seçilen türün takip tablosunda doğru göründüğünü kontrol edin.</t>
        </is>
      </c>
      <c r="F7" s="20" t="inlineStr">
        <is>
          <t xml:space="preserve">F01 / F12</t>
        </is>
      </c>
      <c r="G7" s="24"/>
    </row>
    <row r="8" spans="1:7" x14ac:dyDescent="0.25" ht="73.0" customHeight="1">
      <c r="A8" s="18" t="inlineStr">
        <is>
          <t xml:space="preserve">P03</t>
        </is>
      </c>
      <c r="B8" s="19" t="inlineStr">
        <is>
          <t xml:space="preserve">Baz Faiz</t>
        </is>
      </c>
      <c r="C8" s="19" t="inlineStr">
        <is>
          <t xml:space="preserve">Yüzde; örnek 40</t>
        </is>
      </c>
      <c r="D8" s="18" t="inlineStr">
        <is>
          <t xml:space="preserve">Faiz türleri</t>
        </is>
      </c>
      <c r="E8" s="20" t="inlineStr">
        <is>
          <t xml:space="preserve">%40 için 40 girin. Teorik fiyatı kontrol edin; açılış/kapanış faizleri ayrı ayarlardır.</t>
        </is>
      </c>
      <c r="F8" s="20" t="inlineStr">
        <is>
          <t xml:space="preserve">D01 / B02</t>
        </is>
      </c>
      <c r="G8" s="24"/>
    </row>
    <row r="9" spans="1:7" x14ac:dyDescent="0.25" ht="125.0" customHeight="1">
      <c r="A9" s="18" t="inlineStr">
        <is>
          <t xml:space="preserve">P04</t>
        </is>
      </c>
      <c r="B9" s="19" t="inlineStr">
        <is>
          <t xml:space="preserve">Fonlama Maliyeti</t>
        </is>
      </c>
      <c r="C9" s="19" t="inlineStr">
        <is>
          <t xml:space="preserve">Tam sayı yüzde puanı; örnek 2</t>
        </is>
      </c>
      <c r="D9" s="18" t="inlineStr">
        <is>
          <t xml:space="preserve">Opsiyonel</t>
        </is>
      </c>
      <c r="E9" s="20" t="inlineStr">
        <is>
          <t xml:space="preserve">Yalnız tam sayı girilir. Örnek: 35 hedef + 2 maliyet = 37.</t>
        </is>
      </c>
      <c r="F9" s="20" t="inlineStr">
        <is>
          <t xml:space="preserve">B08</t>
        </is>
      </c>
      <c r="G9" s="24"/>
    </row>
    <row r="10" spans="1:7" ht="123" customHeight="1" x14ac:dyDescent="0.25">
      <c r="A10" s="18" t="inlineStr">
        <is>
          <t xml:space="preserve">P05</t>
        </is>
      </c>
      <c r="B10" s="19" t="inlineStr">
        <is>
          <t xml:space="preserve">Temettü</t>
        </is>
      </c>
      <c r="C10" s="19" t="inlineStr">
        <is>
          <t xml:space="preserve">Birim netleştirilmeli</t>
        </is>
      </c>
      <c r="D10" s="18" t="inlineStr">
        <is>
          <t xml:space="preserve">Karar bekliyor</t>
        </is>
      </c>
      <c r="E10" s="20" t="inlineStr">
        <is>
          <t xml:space="preserve">Girilen tutarın TL/kuruş anlamı ve fiyat etkisi belirlenmeden sonuç vermeyin.</t>
        </is>
      </c>
      <c r="F10" s="20" t="inlineStr">
        <is>
          <t xml:space="preserve">R07</t>
        </is>
      </c>
      <c r="G10" s="24"/>
    </row>
    <row r="11" spans="1:7" x14ac:dyDescent="0.25" ht="125.0" customHeight="1">
      <c r="A11" s="18" t="inlineStr">
        <is>
          <t xml:space="preserve">P06</t>
        </is>
      </c>
      <c r="B11" s="19" t="inlineStr">
        <is>
          <t xml:space="preserve">Dayanak seçimi</t>
        </is>
      </c>
      <c r="C11" s="19" t="inlineStr">
        <is>
          <t xml:space="preserve">Enstrüman adı</t>
        </is>
      </c>
      <c r="D11" s="18" t="inlineStr">
        <is>
          <t xml:space="preserve">Opsiyonel</t>
        </is>
      </c>
      <c r="E11" s="20" t="inlineStr">
        <is>
          <t xml:space="preserve">Dayanak ilk eklemede seçilir; farklı dayanak/vadeli çifti kurulabilir. Ayarlarda dayanak alanı pasiftir ve değiştirilemez.</t>
        </is>
      </c>
      <c r="F11" s="20" t="inlineStr">
        <is>
          <t xml:space="preserve">R08</t>
        </is>
      </c>
      <c r="G11" s="24"/>
    </row>
    <row r="12" spans="1:7" x14ac:dyDescent="0.25" ht="138.0" customHeight="1">
      <c r="A12" s="18" t="inlineStr">
        <is>
          <t xml:space="preserve">P07</t>
        </is>
      </c>
      <c r="B12" s="19" t="inlineStr">
        <is>
          <t xml:space="preserve">Spot Miktarı</t>
        </is>
      </c>
      <c r="C12" s="19" t="inlineStr">
        <is>
          <t xml:space="preserve">Lot / kontrat</t>
        </is>
      </c>
      <c r="D12" s="18" t="inlineStr">
        <is>
          <t xml:space="preserve">Opsiyonel</t>
        </is>
      </c>
      <c r="E12" s="20" t="inlineStr">
        <is>
          <t xml:space="preserve">RA örneği 100 lot. Çift Vade için iki bacakta eşit kontrat miktarı kontrol edilir.</t>
        </is>
      </c>
      <c r="F12" s="20" t="inlineStr">
        <is>
          <t xml:space="preserve">B12 / R04</t>
        </is>
      </c>
      <c r="G12" s="24"/>
    </row>
    <row r="13" spans="1:7" x14ac:dyDescent="0.25" ht="73.0" customHeight="1">
      <c r="A13" s="18" t="inlineStr">
        <is>
          <t xml:space="preserve">P08</t>
        </is>
      </c>
      <c r="B13" s="19" t="inlineStr">
        <is>
          <t xml:space="preserve">Kontrat Limiti</t>
        </is>
      </c>
      <c r="C13" s="19" t="inlineStr">
        <is>
          <t xml:space="preserve">Kontrat; RA: 4</t>
        </is>
      </c>
      <c r="D13" s="18" t="inlineStr">
        <is>
          <t xml:space="preserve">Açılış</t>
        </is>
      </c>
      <c r="E13" s="20" t="inlineStr">
        <is>
          <t xml:space="preserve">Limite ulaşınca yeni açılış olmamalıdır.</t>
        </is>
      </c>
      <c r="F13" s="20" t="inlineStr">
        <is>
          <t xml:space="preserve">A05</t>
        </is>
      </c>
      <c r="G13" s="24"/>
    </row>
    <row r="14" spans="1:7" x14ac:dyDescent="0.25" ht="73.0" customHeight="1">
      <c r="A14" s="18" t="inlineStr">
        <is>
          <t xml:space="preserve">P09</t>
        </is>
      </c>
      <c r="B14" s="19" t="inlineStr">
        <is>
          <t xml:space="preserve">Kontrat Kapatma Limiti</t>
        </is>
      </c>
      <c r="C14" s="19" t="inlineStr">
        <is>
          <t xml:space="preserve">Kontrat; RA: 2</t>
        </is>
      </c>
      <c r="D14" s="18" t="inlineStr">
        <is>
          <t xml:space="preserve">Kapanış</t>
        </is>
      </c>
      <c r="E14" s="20" t="inlineStr">
        <is>
          <t xml:space="preserve">Kapatma Limiti açıkken tamamlanan kapanış sayısını kontrol edin.</t>
        </is>
      </c>
      <c r="F14" s="20" t="inlineStr">
        <is>
          <t xml:space="preserve">A07</t>
        </is>
      </c>
      <c r="G14" s="24"/>
    </row>
    <row r="15" spans="1:7" x14ac:dyDescent="0.25" ht="73.0" customHeight="1">
      <c r="A15" s="18" t="inlineStr">
        <is>
          <t xml:space="preserve">P10</t>
        </is>
      </c>
      <c r="B15" s="19" t="inlineStr">
        <is>
          <t xml:space="preserve">Paket Limiti</t>
        </is>
      </c>
      <c r="C15" s="19" t="inlineStr">
        <is>
          <t xml:space="preserve">Kontrat; RA: 1</t>
        </is>
      </c>
      <c r="D15" s="18" t="inlineStr">
        <is>
          <t xml:space="preserve">Açılış</t>
        </is>
      </c>
      <c r="E15" s="20" t="inlineStr">
        <is>
          <t xml:space="preserve">Tek açılıştaki miktarı kontrol edin. 0 girişinin etkisi ayrıca denenir.</t>
        </is>
      </c>
      <c r="F15" s="20" t="inlineStr">
        <is>
          <t xml:space="preserve">A04 / B11</t>
        </is>
      </c>
      <c r="G15" s="24"/>
    </row>
    <row r="16" spans="1:7" x14ac:dyDescent="0.25" ht="73.0" customHeight="1">
      <c r="A16" s="18" t="inlineStr">
        <is>
          <t xml:space="preserve">P11</t>
        </is>
      </c>
      <c r="B16" s="19" t="inlineStr">
        <is>
          <t xml:space="preserve">Paket Kapatma Limiti</t>
        </is>
      </c>
      <c r="C16" s="19" t="inlineStr">
        <is>
          <t xml:space="preserve">Kontrat; RA: 1</t>
        </is>
      </c>
      <c r="D16" s="18" t="inlineStr">
        <is>
          <t xml:space="preserve">Kapanış</t>
        </is>
      </c>
      <c r="E16" s="20" t="inlineStr">
        <is>
          <t xml:space="preserve">Tek kapanış emrindeki kontrat miktarını kontrol edin.</t>
        </is>
      </c>
      <c r="F16" s="20" t="inlineStr">
        <is>
          <t xml:space="preserve">A06</t>
        </is>
      </c>
      <c r="G16" s="24"/>
    </row>
    <row r="17" spans="1:7" x14ac:dyDescent="0.25" ht="73.0" customHeight="1">
      <c r="A17" s="18" t="inlineStr">
        <is>
          <t xml:space="preserve">P12</t>
        </is>
      </c>
      <c r="B17" s="19" t="inlineStr">
        <is>
          <t xml:space="preserve">İşlem Tipi</t>
        </is>
      </c>
      <c r="C17" s="19" t="inlineStr">
        <is>
          <t xml:space="preserve">Aktif / Pasif</t>
        </is>
      </c>
      <c r="D17" s="18" t="inlineStr">
        <is>
          <t xml:space="preserve">Emir davranışı</t>
        </is>
      </c>
      <c r="E17" s="20" t="inlineStr">
        <is>
          <t xml:space="preserve">Pasif emir tahtada bekler. Aktif işlemde koşul oluşunca karşı fiyatla işlem denenir.</t>
        </is>
      </c>
      <c r="F17" s="20" t="inlineStr">
        <is>
          <t xml:space="preserve">A01 / B04</t>
        </is>
      </c>
      <c r="G17" s="24"/>
    </row>
    <row r="18" spans="1:7" x14ac:dyDescent="0.25" ht="73.0" customHeight="1">
      <c r="A18" s="18" t="inlineStr">
        <is>
          <t xml:space="preserve">P13</t>
        </is>
      </c>
      <c r="B18" s="19" t="inlineStr">
        <is>
          <t xml:space="preserve">Açığa Satış</t>
        </is>
      </c>
      <c r="C18" s="19" t="inlineStr">
        <is>
          <t xml:space="preserve">Serbest / Yasak</t>
        </is>
      </c>
      <c r="D18" s="18" t="inlineStr">
        <is>
          <t xml:space="preserve">İşlem yönü</t>
        </is>
      </c>
      <c r="E18" s="20" t="inlineStr">
        <is>
          <t xml:space="preserve">Yasak seçiliyken spot satışla yeni pozisyon açılmamalıdır.</t>
        </is>
      </c>
      <c r="F18" s="20" t="inlineStr">
        <is>
          <t xml:space="preserve">A10 / B01</t>
        </is>
      </c>
      <c r="G18" s="24"/>
    </row>
    <row r="19" spans="1:7" x14ac:dyDescent="0.25" ht="73.0" customHeight="1">
      <c r="A19" s="18" t="inlineStr">
        <is>
          <t xml:space="preserve">P14</t>
        </is>
      </c>
      <c r="B19" s="19" t="inlineStr">
        <is>
          <t xml:space="preserve">Satış Tipi</t>
        </is>
      </c>
      <c r="C19" s="19" t="inlineStr">
        <is>
          <t xml:space="preserve">Sell / Short</t>
        </is>
      </c>
      <c r="D19" s="18" t="inlineStr">
        <is>
          <t xml:space="preserve">Spot satış</t>
        </is>
      </c>
      <c r="E19" s="20" t="inlineStr">
        <is>
          <t xml:space="preserve">Ekrandaki normal satış/açığa satış bilgisini Emir Geçmişi ile karşılaştırın.</t>
        </is>
      </c>
      <c r="F19" s="20" t="inlineStr">
        <is>
          <t xml:space="preserve">B03</t>
        </is>
      </c>
      <c r="G19" s="24"/>
    </row>
    <row r="20" spans="1:7" ht="135.75" customHeight="1" x14ac:dyDescent="0.25">
      <c r="A20" s="18" t="inlineStr">
        <is>
          <t xml:space="preserve">P15</t>
        </is>
      </c>
      <c r="B20" s="19" t="inlineStr">
        <is>
          <t xml:space="preserve">Açılış / Kapanış Kademesi</t>
        </is>
      </c>
      <c r="C20" s="19" t="inlineStr">
        <is>
          <t xml:space="preserve">Kademe</t>
        </is>
      </c>
      <c r="D20" s="18" t="inlineStr">
        <is>
          <t xml:space="preserve">Spread türleri</t>
        </is>
      </c>
      <c r="E20" s="20" t="inlineStr">
        <is>
          <t xml:space="preserve">Tür, yön ve kapanış seçimine uygun eşikleri kaydedin.</t>
        </is>
      </c>
      <c r="F20" s="20" t="inlineStr">
        <is>
          <t xml:space="preserve">C01 / C02 / C04</t>
        </is>
      </c>
      <c r="G20" s="24"/>
    </row>
    <row r="21" spans="1:7" x14ac:dyDescent="0.25" ht="99.0" customHeight="1">
      <c r="A21" s="18" t="inlineStr">
        <is>
          <t xml:space="preserve">P16</t>
        </is>
      </c>
      <c r="B21" s="19" t="inlineStr">
        <is>
          <t xml:space="preserve">Başlangıç açık emirleri</t>
        </is>
      </c>
      <c r="C21" s="19" t="inlineStr">
        <is>
          <t xml:space="preserve">Emir no / kalan miktar</t>
        </is>
      </c>
      <c r="D21" s="18" t="inlineStr">
        <is>
          <t xml:space="preserve">Her koşu</t>
        </is>
      </c>
      <c r="E21" s="20" t="inlineStr">
        <is>
          <t xml:space="preserve">Testten önce bekleyen emirleri kaydedin; önceki test emrini yeni emirle karıştırmayın.</t>
        </is>
      </c>
      <c r="F21" s="20" t="inlineStr">
        <is>
          <t xml:space="preserve">G04 / E07</t>
        </is>
      </c>
      <c r="G21" s="24"/>
    </row>
    <row r="22" spans="1:7" x14ac:dyDescent="0.25" ht="73.0" customHeight="1">
      <c r="A22" s="18" t="inlineStr">
        <is>
          <t xml:space="preserve">P17</t>
        </is>
      </c>
      <c r="B22" s="19" t="inlineStr">
        <is>
          <t xml:space="preserve">Adaptif Spread</t>
        </is>
      </c>
      <c r="C22" s="19" t="inlineStr">
        <is>
          <t xml:space="preserve">Açık/kapalı ve kademe</t>
        </is>
      </c>
      <c r="D22" s="18" t="inlineStr">
        <is>
          <t xml:space="preserve">Ek özellik</t>
        </is>
      </c>
      <c r="E22" s="20" t="inlineStr">
        <is>
          <t xml:space="preserve">Açık ve kapalı durumda pasif emir fiyatını karşılaştırın.</t>
        </is>
      </c>
      <c r="F22" s="20" t="inlineStr">
        <is>
          <t xml:space="preserve">B09</t>
        </is>
      </c>
      <c r="G22" s="24"/>
    </row>
    <row r="23" spans="1:7" x14ac:dyDescent="0.25" ht="86.0" customHeight="1">
      <c r="A23" s="18" t="inlineStr">
        <is>
          <t xml:space="preserve">P18</t>
        </is>
      </c>
      <c r="B23" s="19" t="inlineStr">
        <is>
          <t xml:space="preserve">Stop Loss</t>
        </is>
      </c>
      <c r="C23" s="19" t="inlineStr">
        <is>
          <t xml:space="preserve">Kademe / saniye / tip</t>
        </is>
      </c>
      <c r="D23" s="18" t="inlineStr">
        <is>
          <t xml:space="preserve">Spot emir</t>
        </is>
      </c>
      <c r="E23" s="20" t="inlineStr">
        <is>
          <t xml:space="preserve">Süre ve fiyat farkı koşullarını ayrı deneyin; fiyat değiştirme ile gerçekleşmeyi ayırın.</t>
        </is>
      </c>
      <c r="F23" s="20" t="inlineStr">
        <is>
          <t xml:space="preserve">A08 / A09 / B06</t>
        </is>
      </c>
      <c r="G23" s="24"/>
    </row>
    <row r="24" spans="1:7" ht="135.75" customHeight="1" x14ac:dyDescent="0.25">
      <c r="A24" s="18" t="inlineStr">
        <is>
          <t xml:space="preserve">P19</t>
        </is>
      </c>
      <c r="B24" s="19" t="inlineStr">
        <is>
          <t xml:space="preserve">Başlangıç / Bitiş</t>
        </is>
      </c>
      <c r="C24" s="19" t="inlineStr">
        <is>
          <t xml:space="preserve">Saat:dakika</t>
        </is>
      </c>
      <c r="D24" s="18" t="inlineStr">
        <is>
          <t xml:space="preserve">Zaman ayarı</t>
        </is>
      </c>
      <c r="E24" s="20" t="inlineStr">
        <is>
          <t xml:space="preserve">Test gününün saatlerini kaydedin; başlangıç ve bitiş davranışlarını ayrı kontrol edin.</t>
        </is>
      </c>
      <c r="F24" s="20" t="inlineStr">
        <is>
          <t xml:space="preserve">A12 / R02 / R03</t>
        </is>
      </c>
      <c r="G24" s="24"/>
    </row>
    <row r="25" spans="1:7" x14ac:dyDescent="0.25" ht="112.0" customHeight="1">
      <c r="A25" s="18" t="inlineStr">
        <is>
          <t xml:space="preserve">P20</t>
        </is>
      </c>
      <c r="B25" s="19" t="inlineStr">
        <is>
          <t xml:space="preserve">Vade seçimi</t>
        </is>
      </c>
      <c r="C25" s="19" t="inlineStr">
        <is>
          <t xml:space="preserve">Vade tarihi</t>
        </is>
      </c>
      <c r="D25" s="18" t="inlineStr">
        <is>
          <t xml:space="preserve">Çift oluşturma</t>
        </is>
      </c>
      <c r="E25" s="20" t="inlineStr">
        <is>
          <t xml:space="preserve">Geçerli iki farklı vade seçildiğini kontrol edin.</t>
        </is>
      </c>
      <c r="F25" s="20" t="inlineStr">
        <is>
          <t xml:space="preserve">C07 / F03</t>
        </is>
      </c>
      <c r="G25" s="24"/>
    </row>
    <row r="26" spans="1:7" x14ac:dyDescent="0.25" ht="73.0" customHeight="1">
      <c r="A26" s="18" t="inlineStr">
        <is>
          <t xml:space="preserve">P21</t>
        </is>
      </c>
      <c r="B26" s="19" t="inlineStr">
        <is>
          <t xml:space="preserve">Vadeli ve dayanak</t>
        </is>
      </c>
      <c r="C26" s="19" t="inlineStr">
        <is>
          <t xml:space="preserve">Enstrüman adları</t>
        </is>
      </c>
      <c r="D26" s="18" t="inlineStr">
        <is>
          <t xml:space="preserve">Çift oluşturma</t>
        </is>
      </c>
      <c r="E26" s="20" t="inlineStr">
        <is>
          <t xml:space="preserve">Emirler seçilen iki enstrümana gitmelidir.</t>
        </is>
      </c>
      <c r="F26" s="20" t="inlineStr">
        <is>
          <t xml:space="preserve">G04 / A03</t>
        </is>
      </c>
      <c r="G26" s="24"/>
    </row>
    <row r="27" spans="1:7" x14ac:dyDescent="0.25" ht="112.0" customHeight="1">
      <c r="A27" s="18" t="inlineStr">
        <is>
          <t xml:space="preserve">P22</t>
        </is>
      </c>
      <c r="B27" s="19" t="inlineStr">
        <is>
          <t xml:space="preserve">Kanal</t>
        </is>
      </c>
      <c r="C27" s="19" t="inlineStr">
        <is>
          <t xml:space="preserve">Ouch / Fix</t>
        </is>
      </c>
      <c r="D27" s="18" t="inlineStr">
        <is>
          <t xml:space="preserve">Emir gönderimi</t>
        </is>
      </c>
      <c r="E27" s="20" t="inlineStr">
        <is>
          <t xml:space="preserve">Test hesabında kullanılabilen kanalı seçin; emir detayından karşılaştırın.</t>
        </is>
      </c>
      <c r="F27" s="20" t="inlineStr">
        <is>
          <t xml:space="preserve">A13 / B13</t>
        </is>
      </c>
      <c r="G27" s="24"/>
    </row>
    <row r="28" spans="1:7" x14ac:dyDescent="0.25" ht="86.0" customHeight="1">
      <c r="A28" s="18" t="inlineStr">
        <is>
          <t xml:space="preserve">P23</t>
        </is>
      </c>
      <c r="B28" s="19" t="inlineStr">
        <is>
          <t xml:space="preserve">Seçenekler</t>
        </is>
      </c>
      <c r="C28" s="19" t="inlineStr">
        <is>
          <t xml:space="preserve">İşaretli / işaretsiz</t>
        </is>
      </c>
      <c r="D28" s="18" t="inlineStr">
        <is>
          <t xml:space="preserve">Ayar kaydı</t>
        </is>
      </c>
      <c r="E28" s="20" t="inlineStr">
        <is>
          <t xml:space="preserve">Seçimi kaydedin, pencereyi yeniden açıp korunduğunu kontrol edin.</t>
        </is>
      </c>
      <c r="F28" s="20" t="inlineStr">
        <is>
          <t xml:space="preserve">F05</t>
        </is>
      </c>
      <c r="G28" s="24"/>
    </row>
    <row r="29" spans="1:7" x14ac:dyDescent="0.25" ht="138.0" customHeight="1">
      <c r="A29" s="18" t="inlineStr">
        <is>
          <t xml:space="preserve">P24</t>
        </is>
      </c>
      <c r="B29" s="19" t="inlineStr">
        <is>
          <t xml:space="preserve">Faiz Arbitraj</t>
        </is>
      </c>
      <c r="C29" s="19" t="inlineStr">
        <is>
          <t xml:space="preserve">Faiz eşikleri</t>
        </is>
      </c>
      <c r="D29" s="18" t="inlineStr">
        <is>
          <t xml:space="preserve">Temel akış</t>
        </is>
      </c>
      <c r="E29" s="20" t="inlineStr">
        <is>
          <t xml:space="preserve">Vadeli ve spot yönlerini, paket oluşumunu ve kapanışı birlikte kontrol edin.</t>
        </is>
      </c>
      <c r="F29" s="20" t="inlineStr">
        <is>
          <t xml:space="preserve">A01–A06 / B01</t>
        </is>
      </c>
      <c r="G29" s="24"/>
    </row>
    <row r="30" spans="1:7" ht="84.75" customHeight="1" x14ac:dyDescent="0.25">
      <c r="A30" s="18" t="inlineStr">
        <is>
          <t xml:space="preserve">P25</t>
        </is>
      </c>
      <c r="B30" s="19" t="inlineStr">
        <is>
          <t xml:space="preserve">Spread Arbitraj</t>
        </is>
      </c>
      <c r="C30" s="19" t="inlineStr">
        <is>
          <t xml:space="preserve">Kademe eşikleri</t>
        </is>
      </c>
      <c r="D30" s="18" t="inlineStr">
        <is>
          <t xml:space="preserve">Temel akış</t>
        </is>
      </c>
      <c r="E30" s="20" t="inlineStr">
        <is>
          <t xml:space="preserve">Alım ve Satım yönlerinde iki bacağı ve kapanışı kontrol edin.</t>
        </is>
      </c>
      <c r="F30" s="20" t="inlineStr">
        <is>
          <t xml:space="preserve">C01 / C02</t>
        </is>
      </c>
      <c r="G30" s="24"/>
    </row>
    <row r="31" spans="1:7" x14ac:dyDescent="0.25" ht="73.0" customHeight="1">
      <c r="A31" s="18" t="inlineStr">
        <is>
          <t xml:space="preserve">P26</t>
        </is>
      </c>
      <c r="B31" s="19" t="inlineStr">
        <is>
          <t xml:space="preserve">Çift Vade Spread</t>
        </is>
      </c>
      <c r="C31" s="19" t="inlineStr">
        <is>
          <t xml:space="preserve">İki vade / kontrat</t>
        </is>
      </c>
      <c r="D31" s="18" t="inlineStr">
        <is>
          <t xml:space="preserve">Temel akış</t>
        </is>
      </c>
      <c r="E31" s="20" t="inlineStr">
        <is>
          <t xml:space="preserve">Yönleri ve iki bacaktaki eşit miktarı karşılaştırın.</t>
        </is>
      </c>
      <c r="F31" s="20" t="inlineStr">
        <is>
          <t xml:space="preserve">C05</t>
        </is>
      </c>
      <c r="G31" s="24"/>
    </row>
    <row r="32" spans="1:7" x14ac:dyDescent="0.25" ht="47.0" customHeight="1">
      <c r="A32" s="18" t="inlineStr">
        <is>
          <t xml:space="preserve">P27</t>
        </is>
      </c>
      <c r="B32" s="19" t="inlineStr">
        <is>
          <t xml:space="preserve">Çift Vade Faiz</t>
        </is>
      </c>
      <c r="C32" s="19" t="inlineStr">
        <is>
          <t xml:space="preserve">İki vade / faiz</t>
        </is>
      </c>
      <c r="D32" s="18" t="inlineStr">
        <is>
          <t xml:space="preserve">Temel akış</t>
        </is>
      </c>
      <c r="E32" s="20" t="inlineStr">
        <is>
          <t xml:space="preserve">İki vadenin tarih farkını, emir yönlerini ve miktarları kontrol edin.</t>
        </is>
      </c>
      <c r="F32" s="20" t="inlineStr">
        <is>
          <t xml:space="preserve">C06 / R19</t>
        </is>
      </c>
      <c r="G32" s="24"/>
    </row>
    <row r="33" spans="1:7" ht="135.75" customHeight="1" x14ac:dyDescent="0.25">
      <c r="A33" s="18" t="inlineStr">
        <is>
          <t xml:space="preserve">P28</t>
        </is>
      </c>
      <c r="B33" s="19" t="inlineStr">
        <is>
          <t xml:space="preserve">Vadeye kalan gün</t>
        </is>
      </c>
      <c r="C33" s="19" t="inlineStr">
        <is>
          <t xml:space="preserve">Gün</t>
        </is>
      </c>
      <c r="D33" s="18" t="inlineStr">
        <is>
          <t xml:space="preserve">Hesap kontrolü</t>
        </is>
      </c>
      <c r="E33" s="20" t="inlineStr">
        <is>
          <t xml:space="preserve">Ekrandaki süreyi tarih ve takas/tatil hesabıyla karşılaştırın.</t>
        </is>
      </c>
      <c r="F33" s="20" t="inlineStr">
        <is>
          <t xml:space="preserve">D03 / R05</t>
        </is>
      </c>
      <c r="G33" s="24"/>
    </row>
    <row r="34" spans="1:7" x14ac:dyDescent="0.25" ht="125.0" customHeight="1">
      <c r="A34" s="18" t="inlineStr">
        <is>
          <t xml:space="preserve">P29</t>
        </is>
      </c>
      <c r="B34" s="19" t="inlineStr">
        <is>
          <t xml:space="preserve">Emir tutarı sınırı</t>
        </is>
      </c>
      <c r="C34" s="19" t="inlineStr">
        <is>
          <t xml:space="preserve">Tutar; önceden belirlenir</t>
        </is>
      </c>
      <c r="D34" s="18" t="inlineStr">
        <is>
          <t xml:space="preserve">Karar bekliyor</t>
        </is>
      </c>
      <c r="E34" s="20" t="inlineStr">
        <is>
          <t xml:space="preserve">Hesabın limiti ve aşımda beklenen davranış kaydedilmiş olmalıdır.</t>
        </is>
      </c>
      <c r="F34" s="20" t="inlineStr">
        <is>
          <t xml:space="preserve">R12</t>
        </is>
      </c>
      <c r="G34" s="24"/>
    </row>
    <row r="35" spans="1:7" x14ac:dyDescent="0.25" ht="73.0" customHeight="1">
      <c r="A35" s="18" t="inlineStr">
        <is>
          <t xml:space="preserve">P30</t>
        </is>
      </c>
      <c r="B35" s="19" t="inlineStr">
        <is>
          <t xml:space="preserve">Kapatma Limiti</t>
        </is>
      </c>
      <c r="C35" s="19" t="inlineStr">
        <is>
          <t xml:space="preserve">İşaretli / işaretsiz</t>
        </is>
      </c>
      <c r="D35" s="18" t="inlineStr">
        <is>
          <t xml:space="preserve">Kapanış</t>
        </is>
      </c>
      <c r="E35" s="20" t="inlineStr">
        <is>
          <t xml:space="preserve">Açıkken kapanış limiti uygulanır; kapalı durum ayrı denenir.</t>
        </is>
      </c>
      <c r="F35" s="20" t="inlineStr">
        <is>
          <t xml:space="preserve">A07 / B10</t>
        </is>
      </c>
      <c r="G35" s="24"/>
    </row>
    <row r="36" spans="1:7" x14ac:dyDescent="0.25" ht="73.0" customHeight="1">
      <c r="A36" s="18" t="inlineStr">
        <is>
          <t xml:space="preserve">P31</t>
        </is>
      </c>
      <c r="B36" s="19" t="inlineStr">
        <is>
          <t xml:space="preserve">Piyasaya Göre Kapat</t>
        </is>
      </c>
      <c r="C36" s="19" t="inlineStr">
        <is>
          <t xml:space="preserve">İşaretli / işaretsiz</t>
        </is>
      </c>
      <c r="D36" s="18" t="inlineStr">
        <is>
          <t xml:space="preserve">Spread kapanışı</t>
        </is>
      </c>
      <c r="E36" s="20" t="inlineStr">
        <is>
          <t xml:space="preserve">Seçime göre kullanılan kapanış fiyatını karşılaştırın.</t>
        </is>
      </c>
      <c r="F36" s="20" t="inlineStr">
        <is>
          <t xml:space="preserve">C04</t>
        </is>
      </c>
      <c r="G36" s="24"/>
    </row>
    <row r="37" spans="1:7" x14ac:dyDescent="0.25" ht="151.0" customHeight="1">
      <c r="A37" s="18" t="inlineStr">
        <is>
          <t xml:space="preserve">P32</t>
        </is>
      </c>
      <c r="B37" s="19" t="inlineStr">
        <is>
          <t xml:space="preserve">Vadeli Açılış Tarafı</t>
        </is>
      </c>
      <c r="C37" s="19" t="inlineStr">
        <is>
          <t xml:space="preserve">Alım / Satım / Otomatik</t>
        </is>
      </c>
      <c r="D37" s="18" t="inlineStr">
        <is>
          <t xml:space="preserve">Yön seçimi</t>
        </is>
      </c>
      <c r="E37" s="20" t="inlineStr">
        <is>
          <t xml:space="preserve">Alım ve Satım ayrı denenir. Otomatik yön için beklenen davranış netleşmelidir.</t>
        </is>
      </c>
      <c r="F37" s="20" t="inlineStr">
        <is>
          <t xml:space="preserve">C01 / C02 / R01</t>
        </is>
      </c>
      <c r="G37" s="24"/>
    </row>
    <row r="38" spans="1:7" x14ac:dyDescent="0.25" ht="73.0" customHeight="1">
      <c r="A38" s="18" t="inlineStr">
        <is>
          <t xml:space="preserve">P33</t>
        </is>
      </c>
      <c r="B38" s="19" t="inlineStr">
        <is>
          <t xml:space="preserve">Opsiyonel Ayarlar</t>
        </is>
      </c>
      <c r="C38" s="19" t="inlineStr">
        <is>
          <t xml:space="preserve">İşaretli / işaretsiz</t>
        </is>
      </c>
      <c r="D38" s="18" t="inlineStr">
        <is>
          <t xml:space="preserve">Ek ayarlar</t>
        </is>
      </c>
      <c r="E38" s="20" t="inlineStr">
        <is>
          <t xml:space="preserve">Spot miktarı ve ilgili alanların seçime göre etkisini kontrol edin.</t>
        </is>
      </c>
      <c r="F38" s="20" t="inlineStr">
        <is>
          <t xml:space="preserve">B12 / R04</t>
        </is>
      </c>
      <c r="G38" s="24"/>
    </row>
    <row r="39" spans="1:7" x14ac:dyDescent="0.25" ht="73.0" customHeight="1">
      <c r="A39" s="18" t="inlineStr">
        <is>
          <t xml:space="preserve">P34</t>
        </is>
      </c>
      <c r="B39" s="19" t="inlineStr">
        <is>
          <t xml:space="preserve">Alış / Satış Hedef Faiz</t>
        </is>
      </c>
      <c r="C39" s="19" t="inlineStr">
        <is>
          <t xml:space="preserve">Yüzde</t>
        </is>
      </c>
      <c r="D39" s="18" t="inlineStr">
        <is>
          <t xml:space="preserve">Açılış eşiği</t>
        </is>
      </c>
      <c r="E39" s="20" t="inlineStr">
        <is>
          <t xml:space="preserve">Seçilen yönün açılış faizini kaydedin; RA satış hedefi 35 örneğini kullanır.</t>
        </is>
      </c>
      <c r="F39" s="20" t="inlineStr">
        <is>
          <t xml:space="preserve">A01 / B01</t>
        </is>
      </c>
      <c r="G39" s="24"/>
    </row>
    <row r="40" spans="1:7" x14ac:dyDescent="0.25" ht="73.0" customHeight="1">
      <c r="A40" s="18" t="inlineStr">
        <is>
          <t xml:space="preserve">P35</t>
        </is>
      </c>
      <c r="B40" s="19" t="inlineStr">
        <is>
          <t xml:space="preserve">Alış / Satış Kapatma Faiz</t>
        </is>
      </c>
      <c r="C40" s="19" t="inlineStr">
        <is>
          <t xml:space="preserve">Yüzde</t>
        </is>
      </c>
      <c r="D40" s="18" t="inlineStr">
        <is>
          <t xml:space="preserve">Kapanış eşiği</t>
        </is>
      </c>
      <c r="E40" s="20" t="inlineStr">
        <is>
          <t xml:space="preserve">Seçilen yönün kapanış faizini kaydedin; RA satış kapatma faizi 29 örneğini kullanır.</t>
        </is>
      </c>
      <c r="F40" s="20" t="inlineStr">
        <is>
          <t xml:space="preserve">A06 / B01</t>
        </is>
      </c>
      <c r="G40" s="24"/>
    </row>
    <row r="41" spans="1:7" x14ac:dyDescent="0.25" ht="73.0" customHeight="1">
      <c r="A41" s="18" t="inlineStr">
        <is>
          <t xml:space="preserve">P36</t>
        </is>
      </c>
      <c r="B41" s="19" t="inlineStr">
        <is>
          <t xml:space="preserve">Test sonrası temizlik</t>
        </is>
      </c>
      <c r="C41" s="19" t="inlineStr">
        <is>
          <t xml:space="preserve">Emir / paket / pozisyon</t>
        </is>
      </c>
      <c r="D41" s="18" t="inlineStr">
        <is>
          <t xml:space="preserve">Her koşu</t>
        </is>
      </c>
      <c r="E41" s="20" t="inlineStr">
        <is>
          <t xml:space="preserve">Stratejiyi durdurun; kalan emir ve pozisyonları kaydedip test sorumlusuyla sonuçlandırın.</t>
        </is>
      </c>
      <c r="F41" s="20" t="inlineStr">
        <is>
          <t xml:space="preserve">E01 / E07</t>
        </is>
      </c>
      <c r="G41" s="24"/>
    </row>
    <row r="42" spans="1:7" x14ac:dyDescent="0.25" ht="125.0" customHeight="1">
      <c r="A42" s="18" t="inlineStr">
        <is>
          <t xml:space="preserve">P37</t>
        </is>
      </c>
      <c r="B42" s="19" t="inlineStr">
        <is>
          <t xml:space="preserve">Toplu Ayar</t>
        </is>
      </c>
      <c r="C42" s="19" t="inlineStr">
        <is>
          <t xml:space="preserve">Seçili çiftler</t>
        </is>
      </c>
      <c r="D42" s="18" t="inlineStr">
        <is>
          <t xml:space="preserve">Ana sanity</t>
        </is>
      </c>
      <c r="E42" s="20" t="inlineStr">
        <is>
          <t xml:space="preserve">Değişen alanın uygulandığını ve diğer ayarların korunduğunu kontrol edin.</t>
        </is>
      </c>
      <c r="F42" s="20" t="inlineStr">
        <is>
          <t xml:space="preserve">R06</t>
        </is>
      </c>
      <c r="G42" s="24"/>
    </row>
    <row r="43" spans="1:7" x14ac:dyDescent="0.25" ht="112.0" customHeight="1">
      <c r="A43" s="18" t="inlineStr">
        <is>
          <t xml:space="preserve">P38</t>
        </is>
      </c>
      <c r="B43" s="19" t="inlineStr">
        <is>
          <t xml:space="preserve">Kaydet</t>
        </is>
      </c>
      <c r="C43" s="19" t="inlineStr">
        <is>
          <t xml:space="preserve">Geçerli / geçersiz giriş</t>
        </is>
      </c>
      <c r="D43" s="18" t="inlineStr">
        <is>
          <t xml:space="preserve">Ayar kontrolü</t>
        </is>
      </c>
      <c r="E43" s="20" t="inlineStr">
        <is>
          <t xml:space="preserve">Kaydetme bildirimi ve yeniden açılan değerleri kontrol edin. Geçersiz giriş kuralları net olmalıdır.</t>
        </is>
      </c>
      <c r="F43" s="20" t="inlineStr">
        <is>
          <t xml:space="preserve">F05 / R10</t>
        </is>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43"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inlineStr">
        <is>
          <t xml:space="preserve">Test Kapsamı</t>
        </is>
      </c>
      <c r="E1" s="26" t="inlineStr">
        <is>
          <t xml:space="preserve">Sonuç ve kapsam seçenekleri. Ortam, testin gerçekten çalıştırıldığı yer olmalıdır.</t>
        </is>
      </c>
    </row>
    <row r="2" spans="1:5" ht="15" customHeight="1" x14ac:dyDescent="0.25">
      <c r="A2" s="24" t="s">
        <v>490</v>
      </c>
      <c r="B2" s="24" t="inlineStr">
        <is>
          <t xml:space="preserve">Test</t>
        </is>
      </c>
      <c r="C2" s="24" t="s">
        <v>57</v>
      </c>
      <c r="D2" s="24" t="inlineStr">
        <is>
          <t xml:space="preserve">Ana sanity</t>
        </is>
      </c>
    </row>
    <row r="3" spans="1:5" ht="15" customHeight="1" x14ac:dyDescent="0.25">
      <c r="A3" s="24" t="s">
        <v>825</v>
      </c>
      <c r="B3" s="24" t="inlineStr">
        <is>
          <t xml:space="preserve">Preprod</t>
        </is>
      </c>
      <c r="C3" s="24" t="s">
        <v>88</v>
      </c>
      <c r="D3" s="24" t="inlineStr">
        <is>
          <t xml:space="preserve">Genişletilmiş</t>
        </is>
      </c>
    </row>
    <row r="4" spans="1:5" ht="15" customHeight="1" x14ac:dyDescent="0.25">
      <c r="A4" s="24" t="s">
        <v>12</v>
      </c>
      <c r="B4" s="24" t="inlineStr">
        <is>
          <t xml:space="preserve">Prod</t>
        </is>
      </c>
      <c r="C4" s="24" t="s">
        <v>388</v>
      </c>
      <c r="D4" s="24" t="inlineStr">
        <is>
          <t xml:space="preserve">Karar bekliyor</t>
        </is>
      </c>
    </row>
    <row r="5" spans="1:5" ht="15" customHeight="1" x14ac:dyDescent="0.25">
      <c r="A5" s="24" t="s">
        <v>16</v>
      </c>
      <c r="B5" s="24" t="inlineStr">
        <is>
          <t xml:space="preserve">Customer/Prod</t>
        </is>
      </c>
      <c r="D5" s="24" t="inlineStr">
        <is>
          <t xml:space="preserve">Ön koşul</t>
        </is>
      </c>
    </row>
    <row r="6" spans="1:5" ht="15" customHeight="1" x14ac:dyDescent="0.25">
      <c r="A6" s="24" t="s">
        <v>827</v>
      </c>
      <c r="B6" s="0" t="inlineStr">
        <is>
          <t xml:space="preserve">Customer</t>
        </is>
      </c>
    </row>
    <row r="7">
      <c r="A7" s="24" t="inlineStr">
        <is>
          <t xml:space="preserve">Kısmen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