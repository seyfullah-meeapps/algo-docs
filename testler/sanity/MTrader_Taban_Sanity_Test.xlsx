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ffbf49e7b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l" sheetId="1" r:id="R61dba39683e242fc"/>
    <x:sheet xmlns:r="http://schemas.openxmlformats.org/officeDocument/2006/relationships" name="Taban Senaryoları" sheetId="2" r:id="Ra9084cde1f2548f7"/>
    <x:sheet xmlns:r="http://schemas.openxmlformats.org/officeDocument/2006/relationships" name="Regresyon" sheetId="3" r:id="Rcb7ba93f92954e81"/>
    <x:sheet xmlns:r="http://schemas.openxmlformats.org/officeDocument/2006/relationships" name="Parametre Eşleştirme" sheetId="4" r:id="R0a20711558d84361"/>
    <x:sheet xmlns:r="http://schemas.openxmlformats.org/officeDocument/2006/relationships" name="Listeler" sheetId="5" r:id="R791bf62d8ba1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5">
    <x:font>
      <x:sz val="11"/>
      <x:name val="Carlito"/>
    </x:font>
    <x:font>
      <x:sz val="11"/>
      <x:color rgb="FF202020"/>
      <x:name val="Calibri"/>
    </x:font>
    <x:font>
      <x:b/>
      <x:sz val="11"/>
      <x:color rgb="FF202020"/>
      <x:name val="Calibri"/>
    </x:font>
    <x:font>
      <x:b/>
      <x:sz val="11"/>
      <x:color rgb="FFFFFFFF"/>
      <x:name val="Calibri"/>
    </x:font>
    <x:font>
      <x:b/>
      <x:sz val="14"/>
      <x:color rgb="FF20202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92D050"/>
      </x:patternFill>
    </x:fill>
    <x:fill>
      <x:patternFill patternType="solid">
        <x:fgColor rgb="FF315C83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0618b53744490" /><Relationship Type="http://schemas.openxmlformats.org/officeDocument/2006/relationships/theme" Target="/xl/theme/theme1.xml" Id="R719aa39f8a324bba" /><Relationship Type="http://schemas.openxmlformats.org/officeDocument/2006/relationships/sharedStrings" Target="/xl/sharedStrings.xml" Id="R12da9d581ba84bc8" /><Relationship Type="http://schemas.openxmlformats.org/officeDocument/2006/relationships/worksheet" Target="/xl/worksheets/sheet1.xml" Id="R61dba39683e242fc" /><Relationship Type="http://schemas.openxmlformats.org/officeDocument/2006/relationships/worksheet" Target="/xl/worksheets/sheet2.xml" Id="Ra9084cde1f2548f7" /><Relationship Type="http://schemas.openxmlformats.org/officeDocument/2006/relationships/worksheet" Target="/xl/worksheets/sheet3.xml" Id="Rcb7ba93f92954e81" /><Relationship Type="http://schemas.openxmlformats.org/officeDocument/2006/relationships/worksheet" Target="/xl/worksheets/sheet4.xml" Id="R0a20711558d84361" /><Relationship Type="http://schemas.openxmlformats.org/officeDocument/2006/relationships/worksheet" Target="/xl/worksheets/sheet5.xml" Id="R791bf62d8ba142b2" /></Relationships>
</file>

<file path=xl/tables/table1.xml><?xml version="1.0" encoding="utf-8"?>
<x:table xmlns:x="http://schemas.openxmlformats.org/spreadsheetml/2006/main" id="1" name="Taban_0" displayName="Taban_0" ref="A19:M27" headerRowCount="1" totalsRowCount="0" totalsRowShown="0">
  <x:tableColumns count="13">
    <x:tableColumn id="1" name="Test ID"/>
    <x:tableColumn id="2" name="Sonuç"/>
    <x:tableColumn id="3" name="Modül"/>
    <x:tableColumn id="4" name="Test Senaryosu"/>
    <x:tableColumn id="5" name="Ön Koşullar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an_1" displayName="Taban_1" ref="A18:M70" headerRowCount="1" totalsRowCount="0" totalsRowShown="0">
  <x:tableColumns count="13">
    <x:tableColumn id="1" name="Test ID"/>
    <x:tableColumn id="2" name="Sonuç"/>
    <x:tableColumn id="3" name="Modül"/>
    <x:tableColumn id="4" name="Test Senaryosu"/>
    <x:tableColumn id="5" name="Ön Koşullar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an_2" displayName="Taban_2" ref="A10:M30" headerRowCount="1" totalsRowCount="0" totalsRowShown="0">
  <x:tableColumns count="13">
    <x:tableColumn id="1" name="Test ID"/>
    <x:tableColumn id="2" name="Sonuç"/>
    <x:tableColumn id="3" name="Durum"/>
    <x:tableColumn id="4" name="Başlık"/>
    <x:tableColumn id="5" name="Kaynak Bulgusu / Gerekçe"/>
    <x:tableColumn id="6" name="Test Adımları"/>
    <x:tableColumn id="7" name="Beklenen Sonuç"/>
    <x:tableColumn id="8" name="Gerçekleşen Sonuç"/>
    <x:tableColumn id="9" name="Kanıt / Log Anahtarı"/>
    <x:tableColumn id="10" name="Ortam"/>
    <x:tableColumn id="11" name="Öncelik"/>
    <x:tableColumn id="12" name="Not / Doğrulama"/>
    <x:tableColumn id="13" name="Ekler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an_Parameters" displayName="Taban_Parameters" ref="A5:F31" headerRowCount="1" totalsRowCount="0" totalsRowShown="0">
  <x:tableColumns count="6">
    <x:tableColumn id="1" name="Ref"/>
    <x:tableColumn id="2" name="Arayüz Etiketi"/>
    <x:tableColumn id="3" name="Motor Parametresi / Birim"/>
    <x:tableColumn id="4" name="Durum"/>
    <x:tableColumn id="5" name="Not / Test Bağı"/>
    <x:tableColumn id="6" name="Kaynak Sembolü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0794efa1864e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f2eb694686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a48667ba26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1556644026452e" /></Relationships>
</file>

<file path=xl/worksheets/sheet1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5" t="str">
        <x:v>Proje Adı:</x:v>
      </x:c>
      <x:c r="D1" s="6" t="str">
        <x:v>MTrader</x:v>
      </x:c>
      <x:c r="E1" s="5" t="str">
        <x:v>Testi Hazırlayan:</x:v>
      </x:c>
      <x:c r="F1" s="6" t="str"/>
      <x:c r="G1" s="10" t="str">
        <x:v>ÖZET</x:v>
      </x:c>
      <x:c r="H1" s="10"/>
      <x:c r="I1" s="10" t="str">
        <x:v>SONUÇ DAĞILIMI</x:v>
      </x:c>
      <x:c r="J1" s="10"/>
      <x:c r="K1" s="10"/>
      <x:c r="L1" s="10"/>
      <x:c r="M1" s="3"/>
    </x:row>
    <x:row r="2">
      <x:c r="A2" s="3"/>
      <x:c r="B2" s="3"/>
      <x:c r="C2" s="5" t="str">
        <x:v>Modül Adı:</x:v>
      </x:c>
      <x:c r="D2" s="6" t="str">
        <x:v>Taban (MinPrice / 14)</x:v>
      </x:c>
      <x:c r="E2" s="5" t="str">
        <x:v>Hazırlama Tarihi:</x:v>
      </x:c>
      <x:c r="F2" s="7" t="n">
        <x:v>46321</x:v>
      </x:c>
      <x:c r="G2" s="3" t="str">
        <x:v>Toplam</x:v>
      </x:c>
      <x:c r="H2" s="12" t="n">
        <x:f>COUNTA(A20:A27)</x:f>
        <x:v>8</x:v>
      </x:c>
      <x:c r="I2" s="3" t="str">
        <x:v>Test Edilmedi</x:v>
      </x:c>
      <x:c r="J2" s="12" t="n">
        <x:f>COUNTIF(B20:B27,"Test Edilmedi")</x:f>
        <x:v>8</x:v>
      </x:c>
      <x:c r="K2" s="3" t="str">
        <x:v>Bloke</x:v>
      </x:c>
      <x:c r="L2" s="12" t="n">
        <x:f>COUNTIF(B20:B27,"Bloke")</x:f>
        <x:v>0</x:v>
      </x:c>
      <x:c r="M2" s="3"/>
    </x:row>
    <x:row r="3">
      <x:c r="A3" s="3"/>
      <x:c r="B3" s="3"/>
      <x:c r="C3" s="5" t="str">
        <x:v>Bölüm:</x:v>
      </x:c>
      <x:c r="D3" s="6" t="str">
        <x:v>Ön Koşul ve Ortak</x:v>
      </x:c>
      <x:c r="E3" s="5" t="str">
        <x:v>Testi Yapan:</x:v>
      </x:c>
      <x:c r="F3" s="6" t="str"/>
      <x:c r="G3" s="3" t="str">
        <x:v>Başarılı</x:v>
      </x:c>
      <x:c r="H3" s="12" t="n">
        <x:f>COUNTIF(B20:B27,"Başarılı")</x:f>
        <x:v>0</x:v>
      </x:c>
      <x:c r="I3" s="3" t="str">
        <x:v>Test Ediliyor</x:v>
      </x:c>
      <x:c r="J3" s="12" t="n">
        <x:f>COUNTIF(B20:B27,"Test Ediliyor")</x:f>
        <x:v>0</x:v>
      </x:c>
      <x:c r="K3" s="3" t="str">
        <x:v>Boş</x:v>
      </x:c>
      <x:c r="L3" s="12" t="n">
        <x:f>COUNTBLANK(B20:B27)</x:f>
        <x:v>0</x:v>
      </x:c>
      <x:c r="M3" s="3"/>
    </x:row>
    <x:row r="4">
      <x:c r="A4" s="3"/>
      <x:c r="B4" s="3"/>
      <x:c r="C4" s="5" t="str">
        <x:v>Dosya Sürümü:</x:v>
      </x:c>
      <x:c r="D4" s="6" t="str">
        <x:v>v1.0</x:v>
      </x:c>
      <x:c r="E4" s="5" t="str">
        <x:v>Test Tarihi:</x:v>
      </x:c>
      <x:c r="F4" s="7" t="str"/>
      <x:c r="G4" s="3" t="str">
        <x:v>Başarısız</x:v>
      </x:c>
      <x:c r="H4" s="12" t="n">
        <x:f>COUNTIF(B20:B27,"Başarısız")</x:f>
        <x:v>0</x:v>
      </x:c>
      <x:c r="I4" s="3" t="str">
        <x:v>Kısmen</x:v>
      </x:c>
      <x:c r="J4" s="12" t="n">
        <x:f>COUNTIF(B20:B27,"Kısmen")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6" t="str">
        <x:v>Önce Genel sayfasındaki G01–G08 tamamlanır. RB referansı sentetik örnektir; gerçek enstrüman, hesap ve değerler her koşuda kaydedilir. Giriş/çıkış koşulları izole test veya kontrollü replay ortamında oluşturulur.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36" customHeight="1">
      <x:c r="A7" s="6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</x:row>
    <x:row r="8" ht="36" customHeight="1">
      <x:c r="A8" s="6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14" t="str">
        <x:v>TEST EDENİN BİLMESİ GEREKENLER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 ht="42" customHeight="1">
      <x:c r="A11" s="15" t="str">
        <x:v>RB: sentetik test/replay. Taban 20,00 TL (raw 20000, divider 1000); Tl_Size=200 TL →10 lot; Enter_Lot=100; Escape_Lot=200; tolerans açık=3; Second_Rule=0 sn; Re_Close=1 sn; otomatik satış 2 kademe; secondary/momentum/tüm alışlar kapalı. Başlangıç balance/emir=0; snapshot hazır; saat aralığı içinde. Gerçek referans G08 ile kaydedilir.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</x:row>
    <x:row r="12" ht="30" customHeight="1">
      <x:c r="A12" s="16" t="str">
        <x:v>Kaynak: taban-inceleme-2026-10-26.md. P01–P26 parametre eşleştirmesini ve ilgili R kaydını önce okuyun. Aktif kaynak adayları taban-toplu-issue.md içinde; yeni test kanıtı değildir.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30" customHeight="1">
      <x:c r="A13" s="16" t="str">
        <x:v>A: IOC giriş • B: kâr satışı • C: kaçış • D: yeniden kırılma • E: tolerans/momentum/saat • U: arayüz • O: operasyon. Her senaryo başlangıç koşuluna ayrı döndürülür.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30" customHeight="1">
      <x:c r="A14" s="16" t="str">
        <x:v>RB toleransı açık3 seçildi. Kapalı tolerans0 / motor−1 uyuşmazlığı R01; ölçek R02, sıfır lot bayrağı R03, gönderilemeyen satış R04. Kaynak adayı manuel test başarısı veya başarısızlığı değildir.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30" customHeight="1">
      <x:c r="A15" s="16" t="str">
        <x:v>Birimler: iki süre sn→ms; momentum µs→ns; giriş/kaçış/kâr yüzdeleri tam yüzde. Giriş IOC alış, kâr/kaçış satışı DAY. Yeniden kırılmada yeni alış yapılmaz. Raw/TL/divider birlikte kaydedilir.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30" customHeight="1">
      <x:c r="A16" s="16" t="str">
        <x:v>Stop yeni kararları durdurur; bekleyen emir iptali ve pozisyon kapatma ayrı işlemlerdir. Test sonu O02 uygulanır. Zamanlama/ret/bozuk veri testleri canlı müşteri hesabında koşulmaz.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30" customHeight="1">
      <x:c r="A17" s="16" t="str">
        <x:v>Başarılı: tüm adımlar ve kanıt tamam. Başarısız: doğrulanmış beklenti sapması. Bloke: ortam/ön koşul eksik. Test Ediliyor: sürüyor. Kısmen: koşulan ve kalan adımlar açık. Test Edilmedi: koşulmadı.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32" customHeight="1">
      <x:c r="A19" s="18" t="str">
        <x:v>Test ID</x:v>
      </x:c>
      <x:c r="B19" s="18" t="str">
        <x:v>Sonuç</x:v>
      </x:c>
      <x:c r="C19" s="18" t="str">
        <x:v>Modül</x:v>
      </x:c>
      <x:c r="D19" s="18" t="str">
        <x:v>Test Senaryosu</x:v>
      </x:c>
      <x:c r="E19" s="18" t="str">
        <x:v>Ön Koşullar</x:v>
      </x:c>
      <x:c r="F19" s="18" t="str">
        <x:v>Test Adımları</x:v>
      </x:c>
      <x:c r="G19" s="18" t="str">
        <x:v>Beklenen Sonuç</x:v>
      </x:c>
      <x:c r="H19" s="18" t="str">
        <x:v>Gerçekleşen Sonuç</x:v>
      </x:c>
      <x:c r="I19" s="18" t="str">
        <x:v>Kanıt / Log Anahtarı</x:v>
      </x:c>
      <x:c r="J19" s="18" t="str">
        <x:v>Ortam</x:v>
      </x:c>
      <x:c r="K19" s="18" t="str">
        <x:v>Öncelik</x:v>
      </x:c>
      <x:c r="L19" s="18" t="str">
        <x:v>Not / Doğrulama</x:v>
      </x:c>
      <x:c r="M19" s="18" t="str">
        <x:v>Ekler</x:v>
      </x:c>
    </x:row>
    <x:row r="20" ht="42" customHeight="1">
      <x:c r="A20" s="3" t="str">
        <x:v>TC-TBN-G01</x:v>
      </x:c>
      <x:c r="B20" s="6" t="str">
        <x:v>Test Edilmedi</x:v>
      </x:c>
      <x:c r="C20" s="3" t="str">
        <x:v>Ön koşul</x:v>
      </x:c>
      <x:c r="D20" s="3" t="str">
        <x:v>Sürüm ve ortam</x:v>
      </x:c>
      <x:c r="E20" s="3" t="str">
        <x:v>İzole test hesabı ve test/replay ortamı.</x:v>
      </x:c>
      <x:c r="F20" s="3" t="str">
        <x:v>GUI/motor/SDK/order-service commitlerini ve çalışan binary/config sürümünü kaydet.</x:v>
      </x:c>
      <x:c r="G20" s="3" t="str">
        <x:v>Development kaynak incelemesi, çalışan sürüm ve test tarihi birbirinden ayrılır.</x:v>
      </x:c>
      <x:c r="H20" s="6" t="str"/>
      <x:c r="I20" s="6" t="str"/>
      <x:c r="J20" s="6" t="str">
        <x:v>Test</x:v>
      </x:c>
      <x:c r="K20" s="3" t="str">
        <x:v>Yüksek</x:v>
      </x:c>
      <x:c r="L20" s="3" t="str"/>
      <x:c r="M20" s="6" t="str"/>
    </x:row>
    <x:row r="21" ht="42" customHeight="1">
      <x:c r="A21" s="3" t="str">
        <x:v>TC-TBN-G02</x:v>
      </x:c>
      <x:c r="B21" s="6" t="str">
        <x:v>Test Edilmedi</x:v>
      </x:c>
      <x:c r="C21" s="3" t="str">
        <x:v>Ön koşul</x:v>
      </x:c>
      <x:c r="D21" s="3" t="str">
        <x:v>Piyasa verisi ve snapshot</x:v>
      </x:c>
      <x:c r="E21" s="3" t="str">
        <x:v>İzole test hesabı ve test/replay ortamı.</x:v>
      </x:c>
      <x:c r="F21" s="3" t="str">
        <x:v>Taban fiyatı, tick ve alış/satış başlarını referans feed ile karşılaştır; ilk snapshotı bekle.</x:v>
      </x:c>
      <x:c r="G21" s="3" t="str">
        <x:v>Snapshot eksikse giriş testleri Bloke; ham fiyat ve TL ölçeği kayıtlı.</x:v>
      </x:c>
      <x:c r="H21" s="6" t="str"/>
      <x:c r="I21" s="6" t="str"/>
      <x:c r="J21" s="6" t="str">
        <x:v>Test</x:v>
      </x:c>
      <x:c r="K21" s="3" t="str">
        <x:v>Yüksek</x:v>
      </x:c>
      <x:c r="L21" s="3" t="str"/>
      <x:c r="M21" s="6" t="str"/>
    </x:row>
    <x:row r="22" ht="42" customHeight="1">
      <x:c r="A22" s="3" t="str">
        <x:v>TC-TBN-G03</x:v>
      </x:c>
      <x:c r="B22" s="6" t="str">
        <x:v>Test Edilmedi</x:v>
      </x:c>
      <x:c r="C22" s="3" t="str">
        <x:v>Ön koşul</x:v>
      </x:c>
      <x:c r="D22" s="3" t="str">
        <x:v>Emir yolu ve hesap</x:v>
      </x:c>
      <x:c r="E22" s="3" t="str">
        <x:v>İzole test hesabı ve test/replay ortamı.</x:v>
      </x:c>
      <x:c r="F22" s="3" t="str">
        <x:v>Hesap yetkisini, OUCH replay tamamlanmasını, SDK/handoff/yedek yolu kontrol et.</x:v>
      </x:c>
      <x:c r="G22" s="3" t="str">
        <x:v>Kabul, ret, iptal ve fill aynı token/father-ref üzerinden izlenebilir.</x:v>
      </x:c>
      <x:c r="H22" s="6" t="str"/>
      <x:c r="I22" s="6" t="str"/>
      <x:c r="J22" s="6" t="str">
        <x:v>Test</x:v>
      </x:c>
      <x:c r="K22" s="3" t="str">
        <x:v>Yüksek</x:v>
      </x:c>
      <x:c r="L22" s="3" t="str"/>
      <x:c r="M22" s="6" t="str"/>
    </x:row>
    <x:row r="23" ht="42" customHeight="1">
      <x:c r="A23" s="3" t="str">
        <x:v>TC-TBN-G04</x:v>
      </x:c>
      <x:c r="B23" s="6" t="str">
        <x:v>Test Edilmedi</x:v>
      </x:c>
      <x:c r="C23" s="3" t="str">
        <x:v>Ön koşul</x:v>
      </x:c>
      <x:c r="D23" s="3" t="str">
        <x:v>Başlangıç temizliği</x:v>
      </x:c>
      <x:c r="E23" s="3" t="str">
        <x:v>İzole test hesabı ve test/replay ortamı.</x:v>
      </x:c>
      <x:c r="F23" s="3" t="str">
        <x:v>Stratejiyi durdur; ilgili emirleri ve hesabın/stratejinin bakiyesini karşılaştır.</x:v>
      </x:c>
      <x:c r="G23" s="3" t="str">
        <x:v>Başlangıç balance ve bekleyen emirler kaydedilir; stop otomatik tasfiye kabul edilmez.</x:v>
      </x:c>
      <x:c r="H23" s="6" t="str"/>
      <x:c r="I23" s="6" t="str"/>
      <x:c r="J23" s="6" t="str">
        <x:v>Test</x:v>
      </x:c>
      <x:c r="K23" s="3" t="str">
        <x:v>Yüksek</x:v>
      </x:c>
      <x:c r="L23" s="3" t="str"/>
      <x:c r="M23" s="6" t="str"/>
    </x:row>
    <x:row r="24" ht="42" customHeight="1">
      <x:c r="A24" s="3" t="str">
        <x:v>TC-TBN-G05</x:v>
      </x:c>
      <x:c r="B24" s="6" t="str">
        <x:v>Test Edilmedi</x:v>
      </x:c>
      <x:c r="C24" s="3" t="str">
        <x:v>Ön koşul</x:v>
      </x:c>
      <x:c r="D24" s="3" t="str">
        <x:v>Strateji kimliği</x:v>
      </x:c>
      <x:c r="E24" s="3" t="str">
        <x:v>İzole test hesabı ve test/replay ortamı.</x:v>
      </x:c>
      <x:c r="F24" s="3" t="str">
        <x:v>Taban satırı ekle; hesap, hisse, strateji ID ve uniqueKey ile komutu izle.</x:v>
      </x:c>
      <x:c r="G24" s="3" t="str">
        <x:v>Strategy_Type=14, Hft_Type=5; uniqueKey son eki14; başka stratejinin state verisi kullanılmaz.</x:v>
      </x:c>
      <x:c r="H24" s="6" t="str"/>
      <x:c r="I24" s="6" t="str"/>
      <x:c r="J24" s="6" t="str">
        <x:v>Test</x:v>
      </x:c>
      <x:c r="K24" s="3" t="str">
        <x:v>Yüksek</x:v>
      </x:c>
      <x:c r="L24" s="3" t="str"/>
      <x:c r="M24" s="6" t="str"/>
    </x:row>
    <x:row r="25" ht="42" customHeight="1">
      <x:c r="A25" s="3" t="str">
        <x:v>TC-TBN-G06</x:v>
      </x:c>
      <x:c r="B25" s="6" t="str">
        <x:v>Test Edilmedi</x:v>
      </x:c>
      <x:c r="C25" s="3" t="str">
        <x:v>Ön koşul</x:v>
      </x:c>
      <x:c r="D25" s="3" t="str">
        <x:v>Referans ayarlar</x:v>
      </x:c>
      <x:c r="E25" s="3" t="str">
        <x:v>İzole test hesabı ve test/replay ortamı.</x:v>
      </x:c>
      <x:c r="F25" s="3" t="str">
        <x:v>RB ayarlarını kaydet ve yeniden aç; toleransı özellikle açık3 bırak; payloadı karşılaştır.</x:v>
      </x:c>
      <x:c r="G25" s="3" t="str">
        <x:v>Giriş/kaçış modları, otomatik satış ve süreler korunur; kapalı tolerans R01 ayrı testtir.</x:v>
      </x:c>
      <x:c r="H25" s="6" t="str"/>
      <x:c r="I25" s="6" t="str"/>
      <x:c r="J25" s="6" t="str">
        <x:v>Test</x:v>
      </x:c>
      <x:c r="K25" s="3" t="str">
        <x:v>Yüksek</x:v>
      </x:c>
      <x:c r="L25" s="3" t="str"/>
      <x:c r="M25" s="6" t="str"/>
    </x:row>
    <x:row r="26" ht="42" customHeight="1">
      <x:c r="A26" s="3" t="str">
        <x:v>TC-TBN-G07</x:v>
      </x:c>
      <x:c r="B26" s="6" t="str">
        <x:v>Test Edilmedi</x:v>
      </x:c>
      <x:c r="C26" s="3" t="str">
        <x:v>Ön koşul</x:v>
      </x:c>
      <x:c r="D26" s="3" t="str">
        <x:v>Kanıt ve test sonu erişimi</x:v>
      </x:c>
      <x:c r="E26" s="3" t="str">
        <x:v>İzole test hesabı ve test/replay ortamı.</x:v>
      </x:c>
      <x:c r="F26" s="3" t="str">
        <x:v>Log, ekran görüntüsü, token, zaman damgası ve durdurma/iptal erişimini hazırla.</x:v>
      </x:c>
      <x:c r="G26" s="3" t="str">
        <x:v>Gerçekleşen Sonuç ve Kanıt alanları yalnız koşulan testle doldurulur.</x:v>
      </x:c>
      <x:c r="H26" s="6" t="str"/>
      <x:c r="I26" s="6" t="str"/>
      <x:c r="J26" s="6" t="str">
        <x:v>Test</x:v>
      </x:c>
      <x:c r="K26" s="3" t="str">
        <x:v>Yüksek</x:v>
      </x:c>
      <x:c r="L26" s="3" t="str"/>
      <x:c r="M26" s="6" t="str"/>
    </x:row>
    <x:row r="27" ht="42" customHeight="1">
      <x:c r="A27" s="3" t="str">
        <x:v>TC-TBN-G08</x:v>
      </x:c>
      <x:c r="B27" s="6" t="str">
        <x:v>Test Edilmedi</x:v>
      </x:c>
      <x:c r="C27" s="3" t="str">
        <x:v>Ön koşul</x:v>
      </x:c>
      <x:c r="D27" s="3" t="str">
        <x:v>Enstrüman referansı</x:v>
      </x:c>
      <x:c r="E27" s="3" t="str">
        <x:v>İzole test hesabı ve test/replay ortamı.</x:v>
      </x:c>
      <x:c r="F27" s="3" t="str">
        <x:v>Taban raw/TL, divider, tick bantları, maxOrderValue, hesap, eşikler ve saat dilimini kaydet.</x:v>
      </x:c>
      <x:c r="G27" s="3" t="str">
        <x:v>RB sayıları sentetiktir; her koşu gerçek/test enstrüman verisiyle yorumlanır.</x:v>
      </x:c>
      <x:c r="H27" s="6" t="str"/>
      <x:c r="I27" s="6" t="str"/>
      <x:c r="J27" s="6" t="str">
        <x:v>Test</x:v>
      </x:c>
      <x:c r="K27" s="3" t="str">
        <x:v>Yüksek</x:v>
      </x:c>
      <x:c r="L27" s="3" t="str"/>
      <x:c r="M27" s="6" t="str"/>
    </x:row>
  </x:sheetData>
  <x:mergeCells>
    <x:mergeCell ref="G1:H1"/>
    <x:mergeCell ref="I1:L1"/>
    <x:mergeCell ref="A6:M6"/>
    <x:mergeCell ref="A7:M7"/>
    <x:mergeCell ref="A8:M8"/>
    <x:mergeCell ref="A10:M10"/>
    <x:mergeCell ref="A11:M11"/>
    <x:mergeCell ref="A12:M12"/>
    <x:mergeCell ref="A13:M13"/>
    <x:mergeCell ref="A14:M14"/>
    <x:mergeCell ref="A15:M15"/>
    <x:mergeCell ref="A16:M16"/>
    <x:mergeCell ref="A17:M17"/>
  </x:mergeCells>
  <x:conditionalFormatting sqref="B20:B27">
    <x:cfRule type="cellIs" dxfId="0" priority="1" operator="equal">
      <x:formula>"Başarılı"</x:formula>
    </x:cfRule>
    <x:cfRule type="cellIs" dxfId="1" priority="2" operator="equal">
      <x:formula>"Başarısız"</x:formula>
    </x:cfRule>
    <x:cfRule type="cellIs" dxfId="2" priority="3" operator="equal">
      <x:formula>"Test Ediliyor"</x:formula>
    </x:cfRule>
    <x:cfRule type="cellIs" dxfId="3" priority="4" operator="equal">
      <x:formula>"Kısmen"</x:formula>
    </x:cfRule>
    <x:cfRule type="cellIs" dxfId="4" priority="5" operator="equal">
      <x:formula>"Bloke"</x:formula>
    </x:cfRule>
  </x:conditionalFormatting>
  <x:dataValidations count="3">
    <x:dataValidation type="list" sqref="B20:B27">
      <x:formula1>Listeler!$A$2:$A$7</x:formula1>
    </x:dataValidation>
    <x:dataValidation type="list" sqref="J20:J27">
      <x:formula1>Listeler!$B$2:$B$5</x:formula1>
    </x:dataValidation>
    <x:dataValidation type="list" sqref="K20:K27">
      <x:formula1>Listeler!$C$2:$C$4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794efa1864eec"/>
  </x:tableParts>
</x:worksheet>
</file>

<file path=xl/worksheets/sheet2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5" t="str">
        <x:v>Proje Adı:</x:v>
      </x:c>
      <x:c r="D1" s="6" t="str">
        <x:v>MTrader</x:v>
      </x:c>
      <x:c r="E1" s="5" t="str">
        <x:v>Testi Hazırlayan:</x:v>
      </x:c>
      <x:c r="F1" s="6" t="str"/>
      <x:c r="G1" s="10" t="str">
        <x:v>ÖZET</x:v>
      </x:c>
      <x:c r="H1" s="10"/>
      <x:c r="I1" s="10" t="str">
        <x:v>SONUÇ DAĞILIMI</x:v>
      </x:c>
      <x:c r="J1" s="10"/>
      <x:c r="K1" s="10"/>
      <x:c r="L1" s="10"/>
      <x:c r="M1" s="3"/>
    </x:row>
    <x:row r="2">
      <x:c r="A2" s="3"/>
      <x:c r="B2" s="3"/>
      <x:c r="C2" s="5" t="str">
        <x:v>Modül Adı:</x:v>
      </x:c>
      <x:c r="D2" s="6" t="str">
        <x:v>Taban (MinPrice / 14)</x:v>
      </x:c>
      <x:c r="E2" s="5" t="str">
        <x:v>Hazırlama Tarihi:</x:v>
      </x:c>
      <x:c r="F2" s="7" t="n">
        <x:v>46321</x:v>
      </x:c>
      <x:c r="G2" s="3" t="str">
        <x:v>Toplam</x:v>
      </x:c>
      <x:c r="H2" s="12" t="n">
        <x:f>COUNTA(A19:A70)</x:f>
        <x:v>52</x:v>
      </x:c>
      <x:c r="I2" s="3" t="str">
        <x:v>Test Edilmedi</x:v>
      </x:c>
      <x:c r="J2" s="12" t="n">
        <x:f>COUNTIF(B19:B70,"Test Edilmedi")</x:f>
        <x:v>52</x:v>
      </x:c>
      <x:c r="K2" s="3" t="str">
        <x:v>Bloke</x:v>
      </x:c>
      <x:c r="L2" s="12" t="n">
        <x:f>COUNTIF(B19:B70,"Bloke")</x:f>
        <x:v>0</x:v>
      </x:c>
      <x:c r="M2" s="3"/>
    </x:row>
    <x:row r="3">
      <x:c r="A3" s="3"/>
      <x:c r="B3" s="3"/>
      <x:c r="C3" s="5" t="str">
        <x:v>Bölüm:</x:v>
      </x:c>
      <x:c r="D3" s="6" t="str">
        <x:v>Test Senaryoları</x:v>
      </x:c>
      <x:c r="E3" s="5" t="str">
        <x:v>Testi Yapan:</x:v>
      </x:c>
      <x:c r="F3" s="6" t="str"/>
      <x:c r="G3" s="3" t="str">
        <x:v>Başarılı</x:v>
      </x:c>
      <x:c r="H3" s="12" t="n">
        <x:f>COUNTIF(B19:B70,"Başarılı")</x:f>
        <x:v>0</x:v>
      </x:c>
      <x:c r="I3" s="3" t="str">
        <x:v>Test Ediliyor</x:v>
      </x:c>
      <x:c r="J3" s="12" t="n">
        <x:f>COUNTIF(B19:B70,"Test Ediliyor")</x:f>
        <x:v>0</x:v>
      </x:c>
      <x:c r="K3" s="3" t="str">
        <x:v>Boş</x:v>
      </x:c>
      <x:c r="L3" s="12" t="n">
        <x:f>COUNTBLANK(B19:B70)</x:f>
        <x:v>0</x:v>
      </x:c>
      <x:c r="M3" s="3"/>
    </x:row>
    <x:row r="4">
      <x:c r="A4" s="3"/>
      <x:c r="B4" s="3"/>
      <x:c r="C4" s="5" t="str">
        <x:v>Dosya Sürümü:</x:v>
      </x:c>
      <x:c r="D4" s="6" t="str">
        <x:v>v1.0</x:v>
      </x:c>
      <x:c r="E4" s="5" t="str">
        <x:v>Test Tarihi:</x:v>
      </x:c>
      <x:c r="F4" s="7" t="str"/>
      <x:c r="G4" s="3" t="str">
        <x:v>Başarısız</x:v>
      </x:c>
      <x:c r="H4" s="12" t="n">
        <x:f>COUNTIF(B19:B70,"Başarısız")</x:f>
        <x:v>0</x:v>
      </x:c>
      <x:c r="I4" s="3" t="str">
        <x:v>Kısmen</x:v>
      </x:c>
      <x:c r="J4" s="12" t="n">
        <x:f>COUNTIF(B19:B70,"Kısmen")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6" t="str">
        <x:v>Önce Genel sayfasındaki G01–G08 tamamlanır. RB referansı sentetik örnektir; gerçek enstrüman, hesap ve değerler her koşuda kaydedilir. Giriş/çıkış koşulları izole test veya kontrollü replay ortamında oluşturulur.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36" customHeight="1">
      <x:c r="A7" s="6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</x:row>
    <x:row r="8" ht="36" customHeight="1">
      <x:c r="A8" s="6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14" t="str">
        <x:v>TEST EDENİN BİLMESİ GEREKENLER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 ht="42" customHeight="1">
      <x:c r="A11" s="15" t="str">
        <x:v>RB: sentetik test/replay. Taban 20,00 TL (raw 20000, divider 1000); Tl_Size=200 TL →10 lot; Enter_Lot=100; Escape_Lot=200; tolerans açık=3; Second_Rule=0 sn; Re_Close=1 sn; otomatik satış 2 kademe; secondary/momentum/tüm alışlar kapalı. Başlangıç balance/emir=0; snapshot hazır; saat aralığı içinde. Gerçek referans G08 ile kaydedilir.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</x:row>
    <x:row r="12" ht="30" customHeight="1">
      <x:c r="A12" s="16" t="str">
        <x:v>Kaynak: taban-inceleme-2026-10-26.md. P01–P26 parametre eşleştirmesini ve ilgili R kaydını önce okuyun. Aktif kaynak adayları taban-toplu-issue.md içinde; yeni test kanıtı değildir.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30" customHeight="1">
      <x:c r="A13" s="16" t="str">
        <x:v>A: IOC giriş • B: kâr satışı • C: kaçış • D: yeniden kırılma • E: tolerans/momentum/saat • U: arayüz • O: operasyon. Her senaryo başlangıç koşuluna ayrı döndürülür.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30" customHeight="1">
      <x:c r="A14" s="16" t="str">
        <x:v>RB toleransı açık3 seçildi. Kapalı tolerans0 / motor−1 uyuşmazlığı R01; ölçek R02, sıfır lot bayrağı R03, gönderilemeyen satış R04. Kaynak adayı manuel test başarısı veya başarısızlığı değildir.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30" customHeight="1">
      <x:c r="A15" s="16" t="str">
        <x:v>Birimler: iki süre sn→ms; momentum µs→ns; giriş/kaçış/kâr yüzdeleri tam yüzde. Giriş IOC alış, kâr/kaçış satışı DAY. Yeniden kırılmada yeni alış yapılmaz. Raw/TL/divider birlikte kaydedilir.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30" customHeight="1">
      <x:c r="A16" s="16" t="str">
        <x:v>Stop yeni kararları durdurur; bekleyen emir iptali ve pozisyon kapatma ayrı işlemlerdir. Test sonu O02 uygulanır. Zamanlama/ret/bozuk veri testleri canlı müşteri hesabında koşulmaz.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30" customHeight="1">
      <x:c r="A17" s="16" t="str">
        <x:v>Başarılı: tüm adımlar ve kanıt tamam. Başarısız: doğrulanmış beklenti sapması. Bloke: ortam/ön koşul eksik. Test Ediliyor: sürüyor. Kısmen: koşulan ve kalan adımlar açık. Test Edilmedi: koşulmadı.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32" customHeight="1">
      <x:c r="A18" s="18" t="str">
        <x:v>Test ID</x:v>
      </x:c>
      <x:c r="B18" s="18" t="str">
        <x:v>Sonuç</x:v>
      </x:c>
      <x:c r="C18" s="18" t="str">
        <x:v>Modül</x:v>
      </x:c>
      <x:c r="D18" s="18" t="str">
        <x:v>Test Senaryosu</x:v>
      </x:c>
      <x:c r="E18" s="18" t="str">
        <x:v>Ön Koşullar</x:v>
      </x:c>
      <x:c r="F18" s="18" t="str">
        <x:v>Test Adımları</x:v>
      </x:c>
      <x:c r="G18" s="18" t="str">
        <x:v>Beklenen Sonuç</x:v>
      </x:c>
      <x:c r="H18" s="18" t="str">
        <x:v>Gerçekleşen Sonuç</x:v>
      </x:c>
      <x:c r="I18" s="18" t="str">
        <x:v>Kanıt / Log Anahtarı</x:v>
      </x:c>
      <x:c r="J18" s="18" t="str">
        <x:v>Ortam</x:v>
      </x:c>
      <x:c r="K18" s="18" t="str">
        <x:v>Öncelik</x:v>
      </x:c>
      <x:c r="L18" s="18" t="str">
        <x:v>Not / Doğrulama</x:v>
      </x:c>
      <x:c r="M18" s="18" t="str">
        <x:v>Ekler</x:v>
      </x:c>
    </x:row>
    <x:row r="19" ht="42" customHeight="1">
      <x:c r="A19" s="3" t="str">
        <x:v>TC-TBN-A01</x:v>
      </x:c>
      <x:c r="B19" s="6" t="str">
        <x:v>Test Edilmedi</x:v>
      </x:c>
      <x:c r="C19" s="3" t="str">
        <x:v>Giriş</x:v>
      </x:c>
      <x:c r="D19" s="3" t="str">
        <x:v>Tabanda duvar yokken bekleme</x:v>
      </x:c>
      <x:c r="E19" s="3" t="str">
        <x:v>RB; satış başı tabanın üstünde.</x:v>
      </x:c>
      <x:c r="F19" s="3" t="str">
        <x:v>1. Lotu eşik altına indir
2. Momentum kapalı/açık ayrı dene</x:v>
      </x:c>
      <x:c r="G19" s="3" t="str">
        <x:v>Taban fiyatındaki satış duvarı yoksa giriş yapılmaz.</x:v>
      </x:c>
      <x:c r="H19" s="6" t="str"/>
      <x:c r="I19" s="6" t="str"/>
      <x:c r="J19" s="6" t="str">
        <x:v>Test</x:v>
      </x:c>
      <x:c r="K19" s="3" t="str">
        <x:v>Yüksek</x:v>
      </x:c>
      <x:c r="L19" s="3" t="str">
        <x:v>shouldEnterPosition; P02/P11</x:v>
      </x:c>
      <x:c r="M19" s="6" t="str"/>
    </x:row>
    <x:row r="20" ht="42" customHeight="1">
      <x:c r="A20" s="3" t="str">
        <x:v>TC-TBN-A02</x:v>
      </x:c>
      <x:c r="B20" s="6" t="str">
        <x:v>Test Edilmedi</x:v>
      </x:c>
      <x:c r="C20" s="3" t="str">
        <x:v>Giriş</x:v>
      </x:c>
      <x:c r="D20" s="3" t="str">
        <x:v>Lot eşiğinin sınırı</x:v>
      </x:c>
      <x:c r="E20" s="3" t="str">
        <x:v>RB; satış başı tabanda.</x:v>
      </x:c>
      <x:c r="F20" s="3" t="str">
        <x:v>1. Ayrı koşularda101,100,99 lot üret
2. Emir yön/fiyat/geçerlilik kaydet</x:v>
      </x:c>
      <x:c r="G20" s="3" t="str">
        <x:v>101 normal girişi tetiklemez;100 ve99 diğer koşullar uygunsa tabanda limit IOC alış tetikler.</x:v>
      </x:c>
      <x:c r="H20" s="6" t="str"/>
      <x:c r="I20" s="6" t="str"/>
      <x:c r="J20" s="6" t="str">
        <x:v>Test</x:v>
      </x:c>
      <x:c r="K20" s="3" t="str">
        <x:v>Yüksek</x:v>
      </x:c>
      <x:c r="L20" s="3" t="str">
        <x:v>Enter_Lot; &lt;= sınırı</x:v>
      </x:c>
      <x:c r="M20" s="6" t="str"/>
    </x:row>
    <x:row r="21" ht="42" customHeight="1">
      <x:c r="A21" s="3" t="str">
        <x:v>TC-TBN-A03</x:v>
      </x:c>
      <x:c r="B21" s="6" t="str">
        <x:v>Test Edilmedi</x:v>
      </x:c>
      <x:c r="C21" s="3" t="str">
        <x:v>Giriş</x:v>
      </x:c>
      <x:c r="D21" s="3" t="str">
        <x:v>Yüzde giriş referansı</x:v>
      </x:c>
      <x:c r="E21" s="3" t="str">
        <x:v>RB; Enter_Lot=0, Enter_Percentage=20; max görülen duvar1000.</x:v>
      </x:c>
      <x:c r="F21" s="3" t="str">
        <x:v>1. Referansı oluştur
2. 201/200/199 lotla ayrı koş</x:v>
      </x:c>
      <x:c r="G21" s="3" t="str">
        <x:v>Eşik200 lot;200 ve altı girişe uygundur; referans son tek olay değil max görülen lottur.</x:v>
      </x:c>
      <x:c r="H21" s="6" t="str"/>
      <x:c r="I21" s="6" t="str"/>
      <x:c r="J21" s="6" t="str">
        <x:v>Test</x:v>
      </x:c>
      <x:c r="K21" s="3" t="str">
        <x:v>Yüksek</x:v>
      </x:c>
      <x:c r="L21" s="3" t="str">
        <x:v>enterTriggerQty</x:v>
      </x:c>
      <x:c r="M21" s="6" t="str"/>
    </x:row>
    <x:row r="22" ht="54" customHeight="1">
      <x:c r="A22" s="3" t="str">
        <x:v>TC-TBN-A04</x:v>
      </x:c>
      <x:c r="B22" s="6" t="str">
        <x:v>Test Edilmedi</x:v>
      </x:c>
      <x:c r="C22" s="3" t="str">
        <x:v>Giriş</x:v>
      </x:c>
      <x:c r="D22" s="3" t="str">
        <x:v>Taban yeniden kilitlenince bekleme</x:v>
      </x:c>
      <x:c r="E22" s="3" t="str">
        <x:v>RB; Second_Rule=1sn; NotTaban→Taban anı t0.</x:v>
      </x:c>
      <x:c r="F22" s="3" t="str">
        <x:v>1. t0+0,5sn,1sn ve hemen sonrası tetik üret
2. Emir zamanlarını karşılaştır</x:v>
      </x:c>
      <x:c r="G22" s="3" t="str">
        <x:v>Yeni giriş, tabanın yeniden kilitlendiği andan itibaren süreyi aşana kadar bekler;0 süre beklemeyi kapatır.</x:v>
      </x:c>
      <x:c r="H22" s="6" t="str"/>
      <x:c r="I22" s="6" t="str"/>
      <x:c r="J22" s="6" t="str">
        <x:v>Test</x:v>
      </x:c>
      <x:c r="K22" s="3" t="str">
        <x:v>Yüksek</x:v>
      </x:c>
      <x:c r="L22" s="3" t="str">
        <x:v>Süre karşılaştırması strict &gt;; P14</x:v>
      </x:c>
      <x:c r="M22" s="6" t="str"/>
    </x:row>
    <x:row r="23" ht="42" customHeight="1">
      <x:c r="A23" s="3" t="str">
        <x:v>TC-TBN-A05</x:v>
      </x:c>
      <x:c r="B23" s="6" t="str">
        <x:v>Test Edilmedi</x:v>
      </x:c>
      <x:c r="C23" s="3" t="str">
        <x:v>Giriş</x:v>
      </x:c>
      <x:c r="D23" s="3" t="str">
        <x:v>TL hedefi ve tam lot</x:v>
      </x:c>
      <x:c r="E23" s="3" t="str">
        <x:v>RB.</x:v>
      </x:c>
      <x:c r="F23" s="3" t="str">
        <x:v>1. 200TL ile tetikle
2. Temiz durumda209TL ile tekrar et</x:v>
      </x:c>
      <x:c r="G23" s="3" t="str">
        <x:v>Motor floor(TL×1000/raw) ile iki durumda da10 lot IOC alış dener.</x:v>
      </x:c>
      <x:c r="H23" s="6" t="str"/>
      <x:c r="I23" s="6" t="str"/>
      <x:c r="J23" s="6" t="str">
        <x:v>Test</x:v>
      </x:c>
      <x:c r="K23" s="3" t="str">
        <x:v>Yüksek</x:v>
      </x:c>
      <x:c r="L23" s="3" t="str">
        <x:v>P13; ölçek farkı R02</x:v>
      </x:c>
      <x:c r="M23" s="6" t="str"/>
    </x:row>
    <x:row r="24" ht="68" customHeight="1">
      <x:c r="A24" s="3" t="str">
        <x:v>TC-TBN-A06</x:v>
      </x:c>
      <x:c r="B24" s="6" t="str">
        <x:v>Test Edilmedi</x:v>
      </x:c>
      <x:c r="C24" s="3" t="str">
        <x:v>Giriş</x:v>
      </x:c>
      <x:c r="D24" s="3" t="str">
        <x:v>Bir lot altındaki tutar</x:v>
      </x:c>
      <x:c r="E24" s="3" t="str">
        <x:v>RB; Tl_Size=1 veya19TL.</x:v>
      </x:c>
      <x:c r="F24" s="3" t="str">
        <x:v>1. Harness ile tetikle
2. Emir sayısını ve isPositionOpen izle
3. Ayar güncellemeden yeni tetikleri izle</x:v>
      </x:c>
      <x:c r="G24" s="3" t="str">
        <x:v>Emir gönderilmez; mevcut kaynakta bayrak erken açıldığı için ayar/durum yeniden kurulana kadar sonraki giriş bloke kalabilir. Düzeltilmiş ölçüt: emir yokken temiz flat durum.</x:v>
      </x:c>
      <x:c r="H24" s="6" t="str"/>
      <x:c r="I24" s="6" t="str"/>
      <x:c r="J24" s="6" t="str">
        <x:v>Test</x:v>
      </x:c>
      <x:c r="K24" s="3" t="str">
        <x:v>Yüksek</x:v>
      </x:c>
      <x:c r="L24" s="3" t="str">
        <x:v>R03; kod bulgusu, canlı test değil</x:v>
      </x:c>
      <x:c r="M24" s="6" t="str"/>
    </x:row>
    <x:row r="25" ht="54" customHeight="1">
      <x:c r="A25" s="3" t="str">
        <x:v>TC-TBN-A07</x:v>
      </x:c>
      <x:c r="B25" s="6" t="str">
        <x:v>Test Edilmedi</x:v>
      </x:c>
      <x:c r="C25" s="3" t="str">
        <x:v>Giriş</x:v>
      </x:c>
      <x:c r="D25" s="3" t="str">
        <x:v>Alınca giriş lotunu değiştir</x:v>
      </x:c>
      <x:c r="E25" s="3" t="str">
        <x:v>RB; Secondary_Enter_Lot=50.</x:v>
      </x:c>
      <x:c r="F25" s="3" t="str">
        <x:v>1.100 lotta ilk alışı gönder
2. Snapshot/DB Enter_Lot izle
3. Sonraki uygun turda51/50 lot dene</x:v>
      </x:c>
      <x:c r="G25" s="3" t="str">
        <x:v>İlk alış gönderim noktasında Enter_Lot50 olur; fill beklenmez; sonraki giriş eşiği50.</x:v>
      </x:c>
      <x:c r="H25" s="6" t="str"/>
      <x:c r="I25" s="6" t="str"/>
      <x:c r="J25" s="6" t="str">
        <x:v>Test</x:v>
      </x:c>
      <x:c r="K25" s="3" t="str">
        <x:v>Yüksek</x:v>
      </x:c>
      <x:c r="L25" s="3" t="str">
        <x:v>applySecondaryEnterLot; P04</x:v>
      </x:c>
      <x:c r="M25" s="6" t="str"/>
    </x:row>
    <x:row r="26" ht="54" customHeight="1">
      <x:c r="A26" s="3" t="str">
        <x:v>TC-TBN-A08</x:v>
      </x:c>
      <x:c r="B26" s="6" t="str">
        <x:v>Test Edilmedi</x:v>
      </x:c>
      <x:c r="C26" s="3" t="str">
        <x:v>Giriş</x:v>
      </x:c>
      <x:c r="D26" s="3" t="str">
        <x:v>Yüzde modunda ikincil lot</x:v>
      </x:c>
      <x:c r="E26" s="3" t="str">
        <x:v>RB; yüzde giriş; secondary eski değer50.</x:v>
      </x:c>
      <x:c r="F26" s="3" t="str">
        <x:v>1. Modalda yüzdeyi seç
2. Kaydet ve payloadı oku
3. Kontrollü legacy payload ile de dene</x:v>
      </x:c>
      <x:c r="G26" s="3" t="str">
        <x:v>GUI secondary alanını0 gönderir; motor yüzde modunda ikinci lotu uygulamaz.</x:v>
      </x:c>
      <x:c r="H26" s="6" t="str"/>
      <x:c r="I26" s="6" t="str"/>
      <x:c r="J26" s="6" t="str">
        <x:v>Test</x:v>
      </x:c>
      <x:c r="K26" s="3" t="str">
        <x:v>Yüksek</x:v>
      </x:c>
      <x:c r="L26" s="3" t="str">
        <x:v>P04</x:v>
      </x:c>
      <x:c r="M26" s="6" t="str"/>
    </x:row>
    <x:row r="27" ht="42" customHeight="1">
      <x:c r="A27" s="3" t="str">
        <x:v>TC-TBN-A09</x:v>
      </x:c>
      <x:c r="B27" s="6" t="str">
        <x:v>Test Edilmedi</x:v>
      </x:c>
      <x:c r="C27" s="3" t="str">
        <x:v>Giriş</x:v>
      </x:c>
      <x:c r="D27" s="3" t="str">
        <x:v>IOC sıfır fill</x:v>
      </x:c>
      <x:c r="E27" s="3" t="str">
        <x:v>RB; alış kabul edilip tamamı IOC iptal.</x:v>
      </x:c>
      <x:c r="F27" s="3" t="str">
        <x:v>1. Fill olmadan accept/cancel üret
2. Yeni erime tetiği ver</x:v>
      </x:c>
      <x:c r="G27" s="3" t="str">
        <x:v>balance0 ve depth boşken bayraklar temizlenir; tolerans sayacı artmaz; yeni giriş mümkün.</x:v>
      </x:c>
      <x:c r="H27" s="6" t="str"/>
      <x:c r="I27" s="6" t="str"/>
      <x:c r="J27" s="6" t="str">
        <x:v>Test</x:v>
      </x:c>
      <x:c r="K27" s="3" t="str">
        <x:v>Yüksek</x:v>
      </x:c>
      <x:c r="L27" s="3" t="str">
        <x:v>resetPositionIfFlat; R05</x:v>
      </x:c>
      <x:c r="M27" s="6" t="str"/>
    </x:row>
    <x:row r="28" ht="42" customHeight="1">
      <x:c r="A28" s="3" t="str">
        <x:v>TC-TBN-A10</x:v>
      </x:c>
      <x:c r="B28" s="6" t="str">
        <x:v>Test Edilmedi</x:v>
      </x:c>
      <x:c r="C28" s="3" t="str">
        <x:v>Giriş</x:v>
      </x:c>
      <x:c r="D28" s="3" t="str">
        <x:v>IOC kısmi fill</x:v>
      </x:c>
      <x:c r="E28" s="3" t="str">
        <x:v>RB;10 lot hedef,4 fill+6 iptal.</x:v>
      </x:c>
      <x:c r="F28" s="3" t="str">
        <x:v>1. Accept/fill/cancel sırasını kaydet
2. Nihai balance ve satış miktarını oku</x:v>
      </x:c>
      <x:c r="G28" s="3" t="str">
        <x:v>Gerçekleşen4 lot için tek toplu otomatik satış; dolmayan6 lot pozisyon sayılmaz.</x:v>
      </x:c>
      <x:c r="H28" s="6" t="str"/>
      <x:c r="I28" s="6" t="str"/>
      <x:c r="J28" s="6" t="str">
        <x:v>Test</x:v>
      </x:c>
      <x:c r="K28" s="3" t="str">
        <x:v>Yüksek</x:v>
      </x:c>
      <x:c r="L28" s="3" t="str">
        <x:v>maybePlaceAggregateAutoSell; R06</x:v>
      </x:c>
      <x:c r="M28" s="6" t="str"/>
    </x:row>
    <x:row r="29" ht="54" customHeight="1">
      <x:c r="A29" s="3" t="str">
        <x:v>TC-TBN-A11</x:v>
      </x:c>
      <x:c r="B29" s="6" t="str">
        <x:v>Test Edilmedi</x:v>
      </x:c>
      <x:c r="C29" s="3" t="str">
        <x:v>Giriş</x:v>
      </x:c>
      <x:c r="D29" s="3" t="str">
        <x:v>Tekrarlanan tetik ve pending</x:v>
      </x:c>
      <x:c r="E29" s="3" t="str">
        <x:v>RB; ilk emir ailesi henüz tamamlanmadı.</x:v>
      </x:c>
      <x:c r="F29" s="3" t="str">
        <x:v>1. Tekrarlanan level olayları üret
2. Pending niyeti2ms içi/dışı callback ile dene</x:v>
      </x:c>
      <x:c r="G29" s="3" t="str">
        <x:v>Aktif pozisyon için yeni tam hedef alış yığılmaz; pending niyet TTL, flat durum ve satış başının tabanda kalmasına bağlı.</x:v>
      </x:c>
      <x:c r="H29" s="6" t="str"/>
      <x:c r="I29" s="6" t="str"/>
      <x:c r="J29" s="6" t="str">
        <x:v>Test</x:v>
      </x:c>
      <x:c r="K29" s="3" t="str">
        <x:v>Yüksek</x:v>
      </x:c>
      <x:c r="L29" s="3" t="str">
        <x:v>tryConsumePendingOpenAfterClose; R07</x:v>
      </x:c>
      <x:c r="M29" s="6" t="str"/>
    </x:row>
    <x:row r="30" ht="54" customHeight="1">
      <x:c r="A30" s="3" t="str">
        <x:v>TC-TBN-A12</x:v>
      </x:c>
      <x:c r="B30" s="6" t="str">
        <x:v>Test Edilmedi</x:v>
      </x:c>
      <x:c r="C30" s="3" t="str">
        <x:v>Giriş</x:v>
      </x:c>
      <x:c r="D30" s="3" t="str">
        <x:v>İlk snapshot ve replay kapısı</x:v>
      </x:c>
      <x:c r="E30" s="3" t="str">
        <x:v>RB; snapshot/replay gecikiyor.</x:v>
      </x:c>
      <x:c r="F30" s="3" t="str">
        <x:v>1. Snapshot öncesi header/level üret
2. OUCH replay eksikken dene
3. Hazır olduğunda tekrar et</x:v>
      </x:c>
      <x:c r="G30" s="3" t="str">
        <x:v>Eksik başlangıç verisiyle normal karar yürütülmez; hazır durumda güncel defter kullanılır.</x:v>
      </x:c>
      <x:c r="H30" s="6" t="str"/>
      <x:c r="I30" s="6" t="str"/>
      <x:c r="J30" s="6" t="str">
        <x:v>Test</x:v>
      </x:c>
      <x:c r="K30" s="3" t="str">
        <x:v>Yüksek</x:v>
      </x:c>
      <x:c r="L30" s="3" t="str">
        <x:v>processSingleEvent/processItchEventTimed</x:v>
      </x:c>
      <x:c r="M30" s="6" t="str"/>
    </x:row>
    <x:row r="31" ht="42" customHeight="1">
      <x:c r="A31" s="3" t="str">
        <x:v>TC-TBN-B01</x:v>
      </x:c>
      <x:c r="B31" s="6" t="str">
        <x:v>Test Edilmedi</x:v>
      </x:c>
      <x:c r="C31" s="3" t="str">
        <x:v>Kâr satışı</x:v>
      </x:c>
      <x:c r="D31" s="3" t="str">
        <x:v>Otomatik kademe hedefi</x:v>
      </x:c>
      <x:c r="E31" s="3" t="str">
        <x:v>RB;10 lot alış ailesi tamamlandı.</x:v>
      </x:c>
      <x:c r="F31" s="3" t="str">
        <x:v>1. Taban tickini kaydet
2. Satış fiyat/miktar/TIF kontrol et</x:v>
      </x:c>
      <x:c r="G31" s="3" t="str">
        <x:v>Taban+2×taban tick fiyatında10 lot limit DAY satış; hemen fill garantisi yok.</x:v>
      </x:c>
      <x:c r="H31" s="6" t="str"/>
      <x:c r="I31" s="6" t="str"/>
      <x:c r="J31" s="6" t="str">
        <x:v>Test</x:v>
      </x:c>
      <x:c r="K31" s="3" t="str">
        <x:v>Yüksek</x:v>
      </x:c>
      <x:c r="L31" s="3" t="str">
        <x:v>computeAutoSellPriceAboveTaban; P06</x:v>
      </x:c>
      <x:c r="M31" s="6" t="str"/>
    </x:row>
    <x:row r="32" ht="42" customHeight="1">
      <x:c r="A32" s="3" t="str">
        <x:v>TC-TBN-B02</x:v>
      </x:c>
      <x:c r="B32" s="6" t="str">
        <x:v>Test Edilmedi</x:v>
      </x:c>
      <x:c r="C32" s="3" t="str">
        <x:v>Kâr satışı</x:v>
      </x:c>
      <x:c r="D32" s="3" t="str">
        <x:v>Otomatik yüzde hedefi</x:v>
      </x:c>
      <x:c r="E32" s="3" t="str">
        <x:v>RB; satış yüzde1, kademe0.</x:v>
      </x:c>
      <x:c r="F32" s="3" t="str">
        <x:v>1. Ticke tam bölünen/bölünmeyen hedefleri dene
2. Raw hedefle karşılaştır</x:v>
      </x:c>
      <x:c r="G32" s="3" t="str">
        <x:v>Tabanın%1 üstü, taban tickine yukarı yuvarlanır; en az1 tick üstü.</x:v>
      </x:c>
      <x:c r="H32" s="6" t="str"/>
      <x:c r="I32" s="6" t="str"/>
      <x:c r="J32" s="6" t="str">
        <x:v>Test</x:v>
      </x:c>
      <x:c r="K32" s="3" t="str">
        <x:v>Yüksek</x:v>
      </x:c>
      <x:c r="L32" s="3" t="str">
        <x:v>P07; bant geçişi R13</x:v>
      </x:c>
      <x:c r="M32" s="6" t="str"/>
    </x:row>
    <x:row r="33" ht="54" customHeight="1">
      <x:c r="A33" s="3" t="str">
        <x:v>TC-TBN-B03</x:v>
      </x:c>
      <x:c r="B33" s="6" t="str">
        <x:v>Test Edilmedi</x:v>
      </x:c>
      <x:c r="C33" s="3" t="str">
        <x:v>Kâr satışı</x:v>
      </x:c>
      <x:c r="D33" s="3" t="str">
        <x:v>Parçalı alıştan tek satış</x:v>
      </x:c>
      <x:c r="E33" s="3" t="str">
        <x:v>RB; alış birden çok child emre bölünmüş.</x:v>
      </x:c>
      <x:c r="F33" s="3" t="str">
        <x:v>1. Farklı fill/iptal sıraları üret
2. Son child öncesi/sonrası satış ailelerini say</x:v>
      </x:c>
      <x:c r="G33" s="3" t="str">
        <x:v>Tüm kabul ve buyDepth temizlenmesi beklenir; gerçekleşen toplam bakiye için tek satış ailesi oluşturulur.</x:v>
      </x:c>
      <x:c r="H33" s="6" t="str"/>
      <x:c r="I33" s="6" t="str"/>
      <x:c r="J33" s="6" t="str">
        <x:v>Test</x:v>
      </x:c>
      <x:c r="K33" s="3" t="str">
        <x:v>Yüksek</x:v>
      </x:c>
      <x:c r="L33" s="3" t="str">
        <x:v>R06; SDK satış ailesini ayrıca bölebilir</x:v>
      </x:c>
      <x:c r="M33" s="6" t="str"/>
    </x:row>
    <x:row r="34" ht="54" customHeight="1">
      <x:c r="A34" s="3" t="str">
        <x:v>TC-TBN-B04</x:v>
      </x:c>
      <x:c r="B34" s="6" t="str">
        <x:v>Test Edilmedi</x:v>
      </x:c>
      <x:c r="C34" s="3" t="str">
        <x:v>Manuel</x:v>
      </x:c>
      <x:c r="D34" s="3" t="str">
        <x:v>Manuel kâr yönetimi</x:v>
      </x:c>
      <x:c r="E34" s="3" t="str">
        <x:v>RB; Is_Sell_Mode_Auto=false.</x:v>
      </x:c>
      <x:c r="F34" s="3" t="str">
        <x:v>1. Alışı doldur
2. Kâr hedefi üzerinde fiyat üret
3. Takip edilen satış tokenıyla pozisyonu kapat</x:v>
      </x:c>
      <x:c r="G34" s="3" t="str">
        <x:v>Otomatik kâr satışı yok; koruyucu kaçışlar aktiftir. Strateji bakiyesinin manuel emirle güncellenmesi rota/token teyidi gerektirir.</x:v>
      </x:c>
      <x:c r="H34" s="6" t="str"/>
      <x:c r="I34" s="6" t="str"/>
      <x:c r="J34" s="6" t="str">
        <x:v>Test</x:v>
      </x:c>
      <x:c r="K34" s="3" t="str">
        <x:v>Yüksek</x:v>
      </x:c>
      <x:c r="L34" s="3" t="str">
        <x:v>R16; bağımsız serbest emri otomatik eşleşmiş sayma</x:v>
      </x:c>
      <x:c r="M34" s="6" t="str"/>
    </x:row>
    <x:row r="35" ht="42" customHeight="1">
      <x:c r="A35" s="3" t="str">
        <x:v>TC-TBN-B05</x:v>
      </x:c>
      <x:c r="B35" s="6" t="str">
        <x:v>Test Edilmedi</x:v>
      </x:c>
      <x:c r="C35" s="3" t="str">
        <x:v>Kâr satışı</x:v>
      </x:c>
      <x:c r="D35" s="3" t="str">
        <x:v>Satış kabulü beklenirken kaçış</x:v>
      </x:c>
      <x:c r="E35" s="3" t="str">
        <x:v>RB; auto sell gönderildi, accept gecikiyor.</x:v>
      </x:c>
      <x:c r="F35" s="3" t="str">
        <x:v>1. Kabul öncesi kaçış üret
2. Accept sonrası callback kontrolünü izle</x:v>
      </x:c>
      <x:c r="G35" s="3" t="str">
        <x:v>Aynı bakiye için ikinci satış yığılmaz; kabul sonrası mevcut satış tabana replace edilir.</x:v>
      </x:c>
      <x:c r="H35" s="6" t="str"/>
      <x:c r="I35" s="6" t="str"/>
      <x:c r="J35" s="6" t="str">
        <x:v>Test</x:v>
      </x:c>
      <x:c r="K35" s="3" t="str">
        <x:v>Yüksek</x:v>
      </x:c>
      <x:c r="L35" s="3" t="str">
        <x:v>R08; orderCompletelyAccepted kapısı</x:v>
      </x:c>
      <x:c r="M35" s="6" t="str"/>
    </x:row>
    <x:row r="36" ht="54" customHeight="1">
      <x:c r="A36" s="3" t="str">
        <x:v>TC-TBN-B06</x:v>
      </x:c>
      <x:c r="B36" s="6" t="str">
        <x:v>Test Edilmedi</x:v>
      </x:c>
      <x:c r="C36" s="3" t="str">
        <x:v>Kâr satışı</x:v>
      </x:c>
      <x:c r="D36" s="3" t="str">
        <x:v>Geçersiz otomatik hedef</x:v>
      </x:c>
      <x:c r="E36" s="3" t="str">
        <x:v>Harness; auto=true, kademe/yüzde0 veya tick0.</x:v>
      </x:c>
      <x:c r="F36" s="3" t="str">
        <x:v>1. Girişi doldur
2. Auto sell çağrısını ve bayrakları izle</x:v>
      </x:c>
      <x:c r="G36" s="3" t="str">
        <x:v>Fiyat üretilemez, kâr satışı gönderilmez; GUI normal kayıtta pozitif hedef ister. Koruyucu çıkış ayrıca test edilir.</x:v>
      </x:c>
      <x:c r="H36" s="6" t="str"/>
      <x:c r="I36" s="6" t="str"/>
      <x:c r="J36" s="6" t="str">
        <x:v>Test</x:v>
      </x:c>
      <x:c r="K36" s="3" t="str">
        <x:v>Yüksek</x:v>
      </x:c>
      <x:c r="L36" s="3" t="str">
        <x:v>R14; malformed/legacy veri</x:v>
      </x:c>
      <x:c r="M36" s="6" t="str"/>
    </x:row>
    <x:row r="37" ht="54" customHeight="1">
      <x:c r="A37" s="3" t="str">
        <x:v>TC-TBN-C01</x:v>
      </x:c>
      <x:c r="B37" s="6" t="str">
        <x:v>Test Edilmedi</x:v>
      </x:c>
      <x:c r="C37" s="3" t="str">
        <x:v>Kaçış</x:v>
      </x:c>
      <x:c r="D37" s="3" t="str">
        <x:v>Satış başının tabana dönmesi</x:v>
      </x:c>
      <x:c r="E37" s="3" t="str">
        <x:v>RB; pozisyon açık, önce NotTaban.</x:v>
      </x:c>
      <x:c r="F37" s="3" t="str">
        <x:v>1. ReClose süresi dolmadan satış başını tabana getir
2. Replace/dump izle</x:v>
      </x:c>
      <x:c r="G37" s="3" t="str">
        <x:v>NotTaban durumundan tabana dönüş derhal kaçış koşuludur; normal hold bu yolu geciktirmez.</x:v>
      </x:c>
      <x:c r="H37" s="6" t="str"/>
      <x:c r="I37" s="6" t="str"/>
      <x:c r="J37" s="6" t="str">
        <x:v>Test</x:v>
      </x:c>
      <x:c r="K37" s="3" t="str">
        <x:v>Yüksek</x:v>
      </x:c>
      <x:c r="L37" s="3" t="str">
        <x:v>shouldEscapePosition (b)</x:v>
      </x:c>
      <x:c r="M37" s="6" t="str"/>
    </x:row>
    <x:row r="38" ht="42" customHeight="1">
      <x:c r="A38" s="3" t="str">
        <x:v>TC-TBN-C02</x:v>
      </x:c>
      <x:c r="B38" s="6" t="str">
        <x:v>Test Edilmedi</x:v>
      </x:c>
      <x:c r="C38" s="3" t="str">
        <x:v>Kaçış</x:v>
      </x:c>
      <x:c r="D38" s="3" t="str">
        <x:v>Duvar yeniden büyüyünce erken kaçış</x:v>
      </x:c>
      <x:c r="E38" s="3" t="str">
        <x:v>RB; açık pozisyon, taban duvarı, hold sürüyor.</x:v>
      </x:c>
      <x:c r="F38" s="3" t="str">
        <x:v>1. Duvarı99→100→101 yap
2. Kaçış nedenini kaydet</x:v>
      </x:c>
      <x:c r="G38" s="3" t="str">
        <x:v>Duvar giriş kriterine eşit/üstü olduğunda hold erken kesilir; kriter pozitif olmalı.</x:v>
      </x:c>
      <x:c r="H38" s="6" t="str"/>
      <x:c r="I38" s="6" t="str"/>
      <x:c r="J38" s="6" t="str">
        <x:v>Test</x:v>
      </x:c>
      <x:c r="K38" s="3" t="str">
        <x:v>Yüksek</x:v>
      </x:c>
      <x:c r="L38" s="3" t="str">
        <x:v>reClose; enterTriggerQty</x:v>
      </x:c>
      <x:c r="M38" s="6" t="str"/>
    </x:row>
    <x:row r="39" ht="42" customHeight="1">
      <x:c r="A39" s="3" t="str">
        <x:v>TC-TBN-C03</x:v>
      </x:c>
      <x:c r="B39" s="6" t="str">
        <x:v>Test Edilmedi</x:v>
      </x:c>
      <x:c r="C39" s="3" t="str">
        <x:v>Kaçış</x:v>
      </x:c>
      <x:c r="D39" s="3" t="str">
        <x:v>Erimeyen duvarda süre sonu</x:v>
      </x:c>
      <x:c r="E39" s="3" t="str">
        <x:v>RB; duvar99, ReClose1sn.</x:v>
      </x:c>
      <x:c r="F39" s="3" t="str">
        <x:v>1. Açılış anını kaydet
2. Süre öncesi/eşit/sonrası olay üret</x:v>
      </x:c>
      <x:c r="G39" s="3" t="str">
        <x:v>Duvar tabanda kaldıysa süre aşıldığında lot küçük olsa da kaçış;0 sürede ilk uygun kontrolde kaçış.</x:v>
      </x:c>
      <x:c r="H39" s="6" t="str"/>
      <x:c r="I39" s="6" t="str"/>
      <x:c r="J39" s="6" t="str">
        <x:v>Test</x:v>
      </x:c>
      <x:c r="K39" s="3" t="str">
        <x:v>Yüksek</x:v>
      </x:c>
      <x:c r="L39" s="3" t="str">
        <x:v>P15; strict &gt;</x:v>
      </x:c>
      <x:c r="M39" s="6" t="str"/>
    </x:row>
    <x:row r="40" ht="54" customHeight="1">
      <x:c r="A40" s="3" t="str">
        <x:v>TC-TBN-C04</x:v>
      </x:c>
      <x:c r="B40" s="6" t="str">
        <x:v>Test Edilmedi</x:v>
      </x:c>
      <x:c r="C40" s="3" t="str">
        <x:v>Kaçış</x:v>
      </x:c>
      <x:c r="D40" s="3" t="str">
        <x:v>Defter sessizken zamanlayıcı</x:v>
      </x:c>
      <x:c r="E40" s="3" t="str">
        <x:v>C03; giriş sonrası yeni veri yok.</x:v>
      </x:c>
      <x:c r="F40" s="3" t="str">
        <x:v>1. Timer kurulmasını izle
2. Hold sonrasını bekle
3. Worker kararını kaydet</x:v>
      </x:c>
      <x:c r="G40" s="3" t="str">
        <x:v>Kalan süre+1ms için timer worker kontrolü üretir; cached defterle kaçış değerlendirilir. Timer yeni giriş/top-up üretmez.</x:v>
      </x:c>
      <x:c r="H40" s="6" t="str"/>
      <x:c r="I40" s="6" t="str"/>
      <x:c r="J40" s="6" t="str">
        <x:v>Test</x:v>
      </x:c>
      <x:c r="K40" s="3" t="str">
        <x:v>Yüksek</x:v>
      </x:c>
      <x:c r="L40" s="3" t="str">
        <x:v>scheduleReCloseCheck; R09</x:v>
      </x:c>
      <x:c r="M40" s="6" t="str"/>
    </x:row>
    <x:row r="41" ht="42" customHeight="1">
      <x:c r="A41" s="3" t="str">
        <x:v>TC-TBN-C05</x:v>
      </x:c>
      <x:c r="B41" s="6" t="str">
        <x:v>Test Edilmedi</x:v>
      </x:c>
      <x:c r="C41" s="3" t="str">
        <x:v>Kaçış</x:v>
      </x:c>
      <x:c r="D41" s="3" t="str">
        <x:v>Tabandaki alış desteği</x:v>
      </x:c>
      <x:c r="E41" s="3" t="str">
        <x:v>RB; satış başı taban üstü, alış başı tabanda; hold bitmiş.</x:v>
      </x:c>
      <x:c r="F41" s="3" t="str">
        <x:v>1. Alış201/200/199 lot ile ayrı dene</x:v>
      </x:c>
      <x:c r="G41" s="3" t="str">
        <x:v>Escape_Lot200 için200 ve altı kaçış;201 bu tetikten çıkmaz.</x:v>
      </x:c>
      <x:c r="H41" s="6" t="str"/>
      <x:c r="I41" s="6" t="str"/>
      <x:c r="J41" s="6" t="str">
        <x:v>Test</x:v>
      </x:c>
      <x:c r="K41" s="3" t="str">
        <x:v>Yüksek</x:v>
      </x:c>
      <x:c r="L41" s="3" t="str">
        <x:v>P08; diğer kaçışlar ayrı</x:v>
      </x:c>
      <x:c r="M41" s="6" t="str"/>
    </x:row>
    <x:row r="42" ht="42" customHeight="1">
      <x:c r="A42" s="3" t="str">
        <x:v>TC-TBN-C06</x:v>
      </x:c>
      <x:c r="B42" s="6" t="str">
        <x:v>Test Edilmedi</x:v>
      </x:c>
      <x:c r="C42" s="3" t="str">
        <x:v>Kaçış</x:v>
      </x:c>
      <x:c r="D42" s="3" t="str">
        <x:v>Yüzde destek eşiği</x:v>
      </x:c>
      <x:c r="E42" s="3" t="str">
        <x:v>RB; Escape_Lot=0, yüzde20; tabanMaxSeenLot1000.</x:v>
      </x:c>
      <x:c r="F42" s="3" t="str">
        <x:v>1. Hold sonrası201/200/199 lot dene</x:v>
      </x:c>
      <x:c r="G42" s="3" t="str">
        <x:v>Tek kademe destek eşiği200;200 ve altı kaçış. Referans max taban duvarıdır.</x:v>
      </x:c>
      <x:c r="H42" s="6" t="str"/>
      <x:c r="I42" s="6" t="str"/>
      <x:c r="J42" s="6" t="str">
        <x:v>Test</x:v>
      </x:c>
      <x:c r="K42" s="3" t="str">
        <x:v>Yüksek</x:v>
      </x:c>
      <x:c r="L42" s="3" t="str">
        <x:v>P09</x:v>
      </x:c>
      <x:c r="M42" s="6" t="str"/>
    </x:row>
    <x:row r="43" ht="54" customHeight="1">
      <x:c r="A43" s="3" t="str">
        <x:v>TC-TBN-C07</x:v>
      </x:c>
      <x:c r="B43" s="6" t="str">
        <x:v>Test Edilmedi</x:v>
      </x:c>
      <x:c r="C43" s="3" t="str">
        <x:v>Kaçış</x:v>
      </x:c>
      <x:c r="D43" s="3" t="str">
        <x:v>Tüm alış kademeleri toplamı</x:v>
      </x:c>
      <x:c r="E43" s="3" t="str">
        <x:v>RB; Consider_All_Buy_Levels=true; alış başı tabanın üstünde.</x:v>
      </x:c>
      <x:c r="F43" s="3" t="str">
        <x:v>1. Toplam201/200/199 lot üret
2. Tek kademe moduyla karşılaştır</x:v>
      </x:c>
      <x:c r="G43" s="3" t="str">
        <x:v>SDK toplam&lt;200 olduğunda kaçış sinyali; eşit200 tetiklemez. Baş alışın tabanda olması şartı bu yol için yok.</x:v>
      </x:c>
      <x:c r="H43" s="6" t="str"/>
      <x:c r="I43" s="6" t="str"/>
      <x:c r="J43" s="6" t="str">
        <x:v>Test</x:v>
      </x:c>
      <x:c r="K43" s="3" t="str">
        <x:v>Yüksek</x:v>
      </x:c>
      <x:c r="L43" s="3" t="str">
        <x:v>P10; R10 sınır farkı</x:v>
      </x:c>
      <x:c r="M43" s="6" t="str"/>
    </x:row>
    <x:row r="44" ht="42" customHeight="1">
      <x:c r="A44" s="3" t="str">
        <x:v>TC-TBN-C08</x:v>
      </x:c>
      <x:c r="B44" s="6" t="str">
        <x:v>Test Edilmedi</x:v>
      </x:c>
      <x:c r="C44" s="3" t="str">
        <x:v>Kaçış</x:v>
      </x:c>
      <x:c r="D44" s="3" t="str">
        <x:v>Hold süresinde destek çökmesi</x:v>
      </x:c>
      <x:c r="E44" s="3" t="str">
        <x:v>RB; taban duvarı eridi, alış desteği çok az.</x:v>
      </x:c>
      <x:c r="F44" s="3" t="str">
        <x:v>1. Hold içinde destek çökert
2. Süre sonrası tekrar kontrol et</x:v>
      </x:c>
      <x:c r="G44" s="3" t="str">
        <x:v>Destek kaynaklı koruyucu çıkış da hold bitene kadar gecikir; tabana geri dönüş C01 ayrı yol.</x:v>
      </x:c>
      <x:c r="H44" s="6" t="str"/>
      <x:c r="I44" s="6" t="str"/>
      <x:c r="J44" s="6" t="str">
        <x:v>Test</x:v>
      </x:c>
      <x:c r="K44" s="3" t="str">
        <x:v>Yüksek</x:v>
      </x:c>
      <x:c r="L44" s="3" t="str">
        <x:v>R11; ürün/risk teyidi</x:v>
      </x:c>
      <x:c r="M44" s="6" t="str"/>
    </x:row>
    <x:row r="45" ht="54" customHeight="1">
      <x:c r="A45" s="3" t="str">
        <x:v>TC-TBN-C09</x:v>
      </x:c>
      <x:c r="B45" s="6" t="str">
        <x:v>Test Edilmedi</x:v>
      </x:c>
      <x:c r="C45" s="3" t="str">
        <x:v>Kaçış</x:v>
      </x:c>
      <x:c r="D45" s="3" t="str">
        <x:v>Mevcut satışın tabana taşınması</x:v>
      </x:c>
      <x:c r="E45" s="3" t="str">
        <x:v>RB; kâr satışı bekliyor.</x:v>
      </x:c>
      <x:c r="F45" s="3" t="str">
        <x:v>1. Kaçış üret
2. Replace tokenını ve kalan miktarı izle</x:v>
      </x:c>
      <x:c r="G45" s="3" t="str">
        <x:v>Mevcut satış tabana replace; qty0 kalan miktarı koruma sözleşmesi. Tabandaki satışa aynı fiyat replace gönderilmez.</x:v>
      </x:c>
      <x:c r="H45" s="6" t="str"/>
      <x:c r="I45" s="6" t="str"/>
      <x:c r="J45" s="6" t="str">
        <x:v>Test</x:v>
      </x:c>
      <x:c r="K45" s="3" t="str">
        <x:v>Yüksek</x:v>
      </x:c>
      <x:c r="L45" s="3" t="str">
        <x:v>replacePassiveSellToTaban; R12</x:v>
      </x:c>
      <x:c r="M45" s="6" t="str"/>
    </x:row>
    <x:row r="46" ht="42" customHeight="1">
      <x:c r="A46" s="3" t="str">
        <x:v>TC-TBN-C10</x:v>
      </x:c>
      <x:c r="B46" s="6" t="str">
        <x:v>Test Edilmedi</x:v>
      </x:c>
      <x:c r="C46" s="3" t="str">
        <x:v>Kaçış</x:v>
      </x:c>
      <x:c r="D46" s="3" t="str">
        <x:v>Satış yokken DAY çıkış</x:v>
      </x:c>
      <x:c r="E46" s="3" t="str">
        <x:v>RB; manuel mod, pozitif balance, depth boş.</x:v>
      </x:c>
      <x:c r="F46" s="3" t="str">
        <x:v>1. Hold sonrası kaçış üret
2. Karşı alış olmadan bekle</x:v>
      </x:c>
      <x:c r="G46" s="3" t="str">
        <x:v>Bakiye kadar tabanda limit DAY satış; fill olmadan pozisyon kapanmış veya tolerans artmış sayılmaz.</x:v>
      </x:c>
      <x:c r="H46" s="6" t="str"/>
      <x:c r="I46" s="6" t="str"/>
      <x:c r="J46" s="6" t="str">
        <x:v>Test</x:v>
      </x:c>
      <x:c r="K46" s="3" t="str">
        <x:v>Yüksek</x:v>
      </x:c>
      <x:c r="L46" s="3" t="str">
        <x:v>dumpPositionAtTaban</x:v>
      </x:c>
      <x:c r="M46" s="6" t="str"/>
    </x:row>
    <x:row r="47" ht="54" customHeight="1">
      <x:c r="A47" s="3" t="str">
        <x:v>TC-TBN-C11</x:v>
      </x:c>
      <x:c r="B47" s="6" t="str">
        <x:v>Test Edilmedi</x:v>
      </x:c>
      <x:c r="C47" s="3" t="str">
        <x:v>Kaçış</x:v>
      </x:c>
      <x:c r="D47" s="3" t="str">
        <x:v>Kısmi satış ve tam kapanış</x:v>
      </x:c>
      <x:c r="E47" s="3" t="str">
        <x:v>C10;10 lotun4ü satıldı.</x:v>
      </x:c>
      <x:c r="F47" s="3" t="str">
        <x:v>1. Kalan6 lotu beklet
2. Son filli üret
3. Sayaç ve bayrakları izle</x:v>
      </x:c>
      <x:c r="G47" s="3" t="str">
        <x:v>Ara durumda balance6 ve açık pozisyon; tam flat olduğunda sayaç yalnız bir tur artar.</x:v>
      </x:c>
      <x:c r="H47" s="6" t="str"/>
      <x:c r="I47" s="6" t="str"/>
      <x:c r="J47" s="6" t="str">
        <x:v>Test</x:v>
      </x:c>
      <x:c r="K47" s="3" t="str">
        <x:v>Yüksek</x:v>
      </x:c>
      <x:c r="L47" s="3" t="str">
        <x:v>onPositionFullyClosed</x:v>
      </x:c>
      <x:c r="M47" s="6" t="str"/>
    </x:row>
    <x:row r="48" ht="42" customHeight="1">
      <x:c r="A48" s="3" t="str">
        <x:v>TC-TBN-C12</x:v>
      </x:c>
      <x:c r="B48" s="6" t="str">
        <x:v>Test Edilmedi</x:v>
      </x:c>
      <x:c r="C48" s="3" t="str">
        <x:v>Kaçış</x:v>
      </x:c>
      <x:c r="D48" s="3" t="str">
        <x:v>Sıfır kaçış ayarının kapsamı</x:v>
      </x:c>
      <x:c r="E48" s="3" t="str">
        <x:v>RB; Escape_Lot=0, Escape%=0.</x:v>
      </x:c>
      <x:c r="F48" s="3" t="str">
        <x:v>1. Pozitif alış destekli veri üret
2. Tabana dönüş/erimeyen duvar senaryolarını dene</x:v>
      </x:c>
      <x:c r="G48" s="3" t="str">
        <x:v>Sıfır destek eşiği bütün kaçış mekanizmasını kapatmaz; tabana dönüş ve reClose yolları kalır.</x:v>
      </x:c>
      <x:c r="H48" s="6" t="str"/>
      <x:c r="I48" s="6" t="str"/>
      <x:c r="J48" s="6" t="str">
        <x:v>Test</x:v>
      </x:c>
      <x:c r="K48" s="3" t="str">
        <x:v>Yüksek</x:v>
      </x:c>
      <x:c r="L48" s="3" t="str">
        <x:v>GUI sıfır kaçışa izin verir</x:v>
      </x:c>
      <x:c r="M48" s="6" t="str"/>
    </x:row>
    <x:row r="49" ht="54" customHeight="1">
      <x:c r="A49" s="3" t="str">
        <x:v>TC-TBN-D01</x:v>
      </x:c>
      <x:c r="B49" s="6" t="str">
        <x:v>Test Edilmedi</x:v>
      </x:c>
      <x:c r="C49" s="3" t="str">
        <x:v>Yeniden kırılma</x:v>
      </x:c>
      <x:c r="D49" s="3" t="str">
        <x:v>Otomatik satışın yukarı taşınması</x:v>
      </x:c>
      <x:c r="E49" s="3" t="str">
        <x:v>RB; kaçış satışı tabanda, bakiye&gt;0, aile tamam; duvar101 sonrası100.</x:v>
      </x:c>
      <x:c r="F49" s="3" t="str">
        <x:v>1. Re-form ile arm oluştur
2. Yeniden erimeyi üret
3. BUY/SELL/replace sayısını karşılaştır</x:v>
      </x:c>
      <x:c r="G49" s="3" t="str">
        <x:v>Mevcut taban satışı kâr hedefine taşınır; yeni alış yapılmaz.</x:v>
      </x:c>
      <x:c r="H49" s="6" t="str"/>
      <x:c r="I49" s="6" t="str"/>
      <x:c r="J49" s="6" t="str">
        <x:v>Test</x:v>
      </x:c>
      <x:c r="K49" s="3" t="str">
        <x:v>Yüksek</x:v>
      </x:c>
      <x:c r="L49" s="3" t="str">
        <x:v>shouldTopUpPosition/topUpPosition</x:v>
      </x:c>
      <x:c r="M49" s="6" t="str"/>
    </x:row>
    <x:row r="50" ht="42" customHeight="1">
      <x:c r="A50" s="3" t="str">
        <x:v>TC-TBN-D02</x:v>
      </x:c>
      <x:c r="B50" s="6" t="str">
        <x:v>Test Edilmedi</x:v>
      </x:c>
      <x:c r="C50" s="3" t="str">
        <x:v>Yeniden kırılma</x:v>
      </x:c>
      <x:c r="D50" s="3" t="str">
        <x:v>Manuel modda taban satışını iptal</x:v>
      </x:c>
      <x:c r="E50" s="3" t="str">
        <x:v>D01 koşulları; manuel mod.</x:v>
      </x:c>
      <x:c r="F50" s="3" t="str">
        <x:v>1. Re-break üret
2. Cancel ACK ve balance izle</x:v>
      </x:c>
      <x:c r="G50" s="3" t="str">
        <x:v>Taban satışı iptal edilir; yeni alış yok; eldeki pozisyon tutulur ve hold yeniden başlar.</x:v>
      </x:c>
      <x:c r="H50" s="6" t="str"/>
      <x:c r="I50" s="6" t="str"/>
      <x:c r="J50" s="6" t="str">
        <x:v>Test</x:v>
      </x:c>
      <x:c r="K50" s="3" t="str">
        <x:v>Yüksek</x:v>
      </x:c>
      <x:c r="L50" s="3" t="str">
        <x:v>manualCancelOnReBreak</x:v>
      </x:c>
      <x:c r="M50" s="6" t="str"/>
    </x:row>
    <x:row r="51" ht="54" customHeight="1">
      <x:c r="A51" s="3" t="str">
        <x:v>TC-TBN-D03</x:v>
      </x:c>
      <x:c r="B51" s="6" t="str">
        <x:v>Test Edilmedi</x:v>
      </x:c>
      <x:c r="C51" s="3" t="str">
        <x:v>Yeniden kırılma</x:v>
      </x:c>
      <x:c r="D51" s="3" t="str">
        <x:v>Arm olmadan tekrar tetik yok</x:v>
      </x:c>
      <x:c r="E51" s="3" t="str">
        <x:v>RB; duvar baştan beri99; taban satışı mevcut.</x:v>
      </x:c>
      <x:c r="F51" s="3" t="str">
        <x:v>1. Aynı duvarı tekrarla
2.100 ardından99 dene
3.101 ardından100 dene</x:v>
      </x:c>
      <x:c r="G51" s="3" t="str">
        <x:v>Duvarın kriterin kesin üstüne çıkması gerekir; eşit100 arm yapmaz. Tekrarlanan düşük duvar top-up/kaçış döngüsü üretmez.</x:v>
      </x:c>
      <x:c r="H51" s="6" t="str"/>
      <x:c r="I51" s="6" t="str"/>
      <x:c r="J51" s="6" t="str">
        <x:v>Test</x:v>
      </x:c>
      <x:c r="K51" s="3" t="str">
        <x:v>Yüksek</x:v>
      </x:c>
      <x:c r="L51" s="3" t="str">
        <x:v>topUpArmed; setTabanState</x:v>
      </x:c>
      <x:c r="M51" s="6" t="str"/>
    </x:row>
    <x:row r="52" ht="42" customHeight="1">
      <x:c r="A52" s="3" t="str">
        <x:v>TC-TBN-D04</x:v>
      </x:c>
      <x:c r="B52" s="6" t="str">
        <x:v>Test Edilmedi</x:v>
      </x:c>
      <x:c r="C52" s="3" t="str">
        <x:v>Yeniden kırılma</x:v>
      </x:c>
      <x:c r="D52" s="3" t="str">
        <x:v>Kâr satışına yanlış top-up yok</x:v>
      </x:c>
      <x:c r="E52" s="3" t="str">
        <x:v>RB; satış zaten taban üstünde.</x:v>
      </x:c>
      <x:c r="F52" s="3" t="str">
        <x:v>1. Duvar erimesi üret
2. Emir ve timer kayıtlarını izle</x:v>
      </x:c>
      <x:c r="G52" s="3" t="str">
        <x:v>Tabanda kendi satış emri olmadığında top-up yok; reClose değerlendirmesi aç kalmamalı.</x:v>
      </x:c>
      <x:c r="H52" s="6" t="str"/>
      <x:c r="I52" s="6" t="str"/>
      <x:c r="J52" s="6" t="str">
        <x:v>Test</x:v>
      </x:c>
      <x:c r="K52" s="3" t="str">
        <x:v>Yüksek</x:v>
      </x:c>
      <x:c r="L52" s="3" t="str">
        <x:v>shouldTopUpPosition</x:v>
      </x:c>
      <x:c r="M52" s="6" t="str"/>
    </x:row>
    <x:row r="53" ht="42" customHeight="1">
      <x:c r="A53" s="3" t="str">
        <x:v>TC-TBN-D05</x:v>
      </x:c>
      <x:c r="B53" s="6" t="str">
        <x:v>Test Edilmedi</x:v>
      </x:c>
      <x:c r="C53" s="3" t="str">
        <x:v>Yeniden kırılma</x:v>
      </x:c>
      <x:c r="D53" s="3" t="str">
        <x:v>Kilitlenme beklemesi ve yeni hold</x:v>
      </x:c>
      <x:c r="E53" s="3" t="str">
        <x:v>D01; Second_Rule1sn, ReClose1sn.</x:v>
      </x:c>
      <x:c r="F53" s="3" t="str">
        <x:v>1. Kilitlenmeden1sn önce/sonra re-break dene
2. Sonrasında kaçış süresini ölç</x:v>
      </x:c>
      <x:c r="G53" s="3" t="str">
        <x:v>Re-entry cooldown top-up için de geçerli; başarılı re-break hold başlangıcını yeniler.</x:v>
      </x:c>
      <x:c r="H53" s="6" t="str"/>
      <x:c r="I53" s="6" t="str"/>
      <x:c r="J53" s="6" t="str">
        <x:v>Test</x:v>
      </x:c>
      <x:c r="K53" s="3" t="str">
        <x:v>Yüksek</x:v>
      </x:c>
      <x:c r="L53" s="3" t="str">
        <x:v>P14/P15</x:v>
      </x:c>
      <x:c r="M53" s="6" t="str"/>
    </x:row>
    <x:row r="54" ht="54" customHeight="1">
      <x:c r="A54" s="3" t="str">
        <x:v>TC-TBN-D06</x:v>
      </x:c>
      <x:c r="B54" s="6" t="str">
        <x:v>Test Edilmedi</x:v>
      </x:c>
      <x:c r="C54" s="3" t="str">
        <x:v>Yeniden kırılma</x:v>
      </x:c>
      <x:c r="D54" s="3" t="str">
        <x:v>Manuel cancel ile kaçış yarışı</x:v>
      </x:c>
      <x:c r="E54" s="3" t="str">
        <x:v>D02; cancel ACK gecikiyor, yeniden kaçış koşulu.</x:v>
      </x:c>
      <x:c r="F54" s="3" t="str">
        <x:v>1. Cancel uçuşta iken kaçış üret
2. ACK ile taban satışını kaldır
3. Callback sonrası kontrolü izle</x:v>
      </x:c>
      <x:c r="G54" s="3" t="str">
        <x:v>Taban satışı kalmadığında stale isExiting temizlenir; hâlâ gereken kaçış yeniden gerçek satış dener.</x:v>
      </x:c>
      <x:c r="H54" s="6" t="str"/>
      <x:c r="I54" s="6" t="str"/>
      <x:c r="J54" s="6" t="str">
        <x:v>Test</x:v>
      </x:c>
      <x:c r="K54" s="3" t="str">
        <x:v>Yüksek</x:v>
      </x:c>
      <x:c r="L54" s="3" t="str">
        <x:v>R15; deleteOrder/recheckEscape</x:v>
      </x:c>
      <x:c r="M54" s="6" t="str"/>
    </x:row>
    <x:row r="55" ht="42" customHeight="1">
      <x:c r="A55" s="3" t="str">
        <x:v>TC-TBN-E01</x:v>
      </x:c>
      <x:c r="B55" s="6" t="str">
        <x:v>Test Edilmedi</x:v>
      </x:c>
      <x:c r="C55" s="3" t="str">
        <x:v>Tolerans</x:v>
      </x:c>
      <x:c r="D55" s="3" t="str">
        <x:v>Tamamlanan tur sayısı</x:v>
      </x:c>
      <x:c r="E55" s="3" t="str">
        <x:v>RB; tolerans3.</x:v>
      </x:c>
      <x:c r="F55" s="3" t="str">
        <x:v>1. Üç ayrı giriş/tam satış turu üret
2. Her fillde sayaç izle</x:v>
      </x:c>
      <x:c r="G55" s="3" t="str">
        <x:v>Sayaç yalnız tam kapanışta artar;3te durur; parçalı fill sayısı tur değildir.</x:v>
      </x:c>
      <x:c r="H55" s="6" t="str"/>
      <x:c r="I55" s="6" t="str"/>
      <x:c r="J55" s="6" t="str">
        <x:v>Test</x:v>
      </x:c>
      <x:c r="K55" s="3" t="str">
        <x:v>Yüksek</x:v>
      </x:c>
      <x:c r="L55" s="3" t="str">
        <x:v>P16</x:v>
      </x:c>
      <x:c r="M55" s="6" t="str"/>
    </x:row>
    <x:row r="56" ht="42" customHeight="1">
      <x:c r="A56" s="3" t="str">
        <x:v>TC-TBN-E02</x:v>
      </x:c>
      <x:c r="B56" s="6" t="str">
        <x:v>Test Edilmedi</x:v>
      </x:c>
      <x:c r="C56" s="3" t="str">
        <x:v>Tolerans</x:v>
      </x:c>
      <x:c r="D56" s="3" t="str">
        <x:v>Kapalı tolerans</x:v>
      </x:c>
      <x:c r="E56" s="3" t="str">
        <x:v>RB; GUI tolerans kutusu kapalı.</x:v>
      </x:c>
      <x:c r="F56" s="3" t="str">
        <x:v>1. Payloadı oku
2. İlk girişi tetikle</x:v>
      </x:c>
      <x:c r="G56" s="3" t="str">
        <x:v>GUI0 gönderir; mevcut motor counter0&gt;=0 ile durur. Sınırsız sözleşmesi-1; uyuşmazlık R01.</x:v>
      </x:c>
      <x:c r="H56" s="6" t="str"/>
      <x:c r="I56" s="6" t="str"/>
      <x:c r="J56" s="6" t="str">
        <x:v>Test</x:v>
      </x:c>
      <x:c r="K56" s="3" t="str">
        <x:v>Yüksek</x:v>
      </x:c>
      <x:c r="L56" s="3" t="str">
        <x:v>K-259; kaynak gözlemi</x:v>
      </x:c>
      <x:c r="M56" s="6" t="str"/>
    </x:row>
    <x:row r="57" ht="54" customHeight="1">
      <x:c r="A57" s="3" t="str">
        <x:v>TC-TBN-E03</x:v>
      </x:c>
      <x:c r="B57" s="6" t="str">
        <x:v>Test Edilmedi</x:v>
      </x:c>
      <x:c r="C57" s="3" t="str">
        <x:v>Tolerans</x:v>
      </x:c>
      <x:c r="D57" s="3" t="str">
        <x:v>Stop/start sayaç devamı</x:v>
      </x:c>
      <x:c r="E57" s="3" t="str">
        <x:v>Bir tur tamamlanmış.</x:v>
      </x:c>
      <x:c r="F57" s="3" t="str">
        <x:v>1. Sayaç kaydet
2. Stop/start yap
3. Yeni turu tamamla</x:v>
      </x:c>
      <x:c r="G57" s="3" t="str">
        <x:v>Stop/startı yeni strateji nesnesi gibi sayma; mevcut counter korunması ve kalan tur hakkı doğrulanır.</x:v>
      </x:c>
      <x:c r="H57" s="6" t="str"/>
      <x:c r="I57" s="6" t="str"/>
      <x:c r="J57" s="6" t="str">
        <x:v>Test</x:v>
      </x:c>
      <x:c r="K57" s="3" t="str">
        <x:v>Yüksek</x:v>
      </x:c>
      <x:c r="L57" s="3" t="str">
        <x:v>P16; state üzerinden kanıt</x:v>
      </x:c>
      <x:c r="M57" s="6" t="str"/>
    </x:row>
    <x:row r="58" ht="42" customHeight="1">
      <x:c r="A58" s="3" t="str">
        <x:v>TC-TBN-E04</x:v>
      </x:c>
      <x:c r="B58" s="6" t="str">
        <x:v>Test Edilmedi</x:v>
      </x:c>
      <x:c r="C58" s="3" t="str">
        <x:v>Momentum</x:v>
      </x:c>
      <x:c r="D58" s="3" t="str">
        <x:v>Duvar erimeden maksimum alış</x:v>
      </x:c>
      <x:c r="E58" s="3" t="str">
        <x:v>RB; momentum açık; normal duvar eşiğin üstünde.</x:v>
      </x:c>
      <x:c r="F58" s="3" t="str">
        <x:v>1. Tabanda eşik aşan agresif alış üret
2. Taban dışı duvarda tekrarla</x:v>
      </x:c>
      <x:c r="G58" s="3" t="str">
        <x:v>Max-size sinyali lot testinin yerine geçer; taban fiyat kapısı ve cooldown devam eder.</x:v>
      </x:c>
      <x:c r="H58" s="6" t="str"/>
      <x:c r="I58" s="6" t="str"/>
      <x:c r="J58" s="6" t="str">
        <x:v>Test</x:v>
      </x:c>
      <x:c r="K58" s="3" t="str">
        <x:v>Yüksek</x:v>
      </x:c>
      <x:c r="L58" s="3" t="str">
        <x:v>P11/P12; shouldEnterPosition</x:v>
      </x:c>
      <x:c r="M58" s="6" t="str"/>
    </x:row>
    <x:row r="59" ht="42" customHeight="1">
      <x:c r="A59" s="3" t="str">
        <x:v>TC-TBN-E05</x:v>
      </x:c>
      <x:c r="B59" s="6" t="str">
        <x:v>Test Edilmedi</x:v>
      </x:c>
      <x:c r="C59" s="3" t="str">
        <x:v>Momentum</x:v>
      </x:c>
      <x:c r="D59" s="3" t="str">
        <x:v>Pencere ve yüzde dönüşümü</x:v>
      </x:c>
      <x:c r="E59" s="3" t="str">
        <x:v>RB; momentum1,250µs; yüzdeler0/100/114.</x:v>
      </x:c>
      <x:c r="F59" s="3" t="str">
        <x:v>1. Payload ve yeniden açılan formu karşılaştır
2. Threshold logunu kontrol et</x:v>
      </x:c>
      <x:c r="G59" s="3" t="str">
        <x:v>1,250µs→1250ns; yüzde0 tam cap, pozitif değer ölçek; development114 üst eşiğe izin verir.</x:v>
      </x:c>
      <x:c r="H59" s="6" t="str"/>
      <x:c r="I59" s="6" t="str"/>
      <x:c r="J59" s="6" t="str">
        <x:v>Test</x:v>
      </x:c>
      <x:c r="K59" s="3" t="str">
        <x:v>Yüksek</x:v>
      </x:c>
      <x:c r="L59" s="3" t="str">
        <x:v>maxOrderQtyAtTaban; delta0 ayrı timestamp gruplaması</x:v>
      </x:c>
      <x:c r="M59" s="6" t="str"/>
    </x:row>
    <x:row r="60" ht="42" customHeight="1">
      <x:c r="A60" s="3" t="str">
        <x:v>TC-TBN-E06</x:v>
      </x:c>
      <x:c r="B60" s="6" t="str">
        <x:v>Test Edilmedi</x:v>
      </x:c>
      <x:c r="C60" s="3" t="str">
        <x:v>Saat</x:v>
      </x:c>
      <x:c r="D60" s="3" t="str">
        <x:v>Başlangıç ve bitiş sınırları</x:v>
      </x:c>
      <x:c r="E60" s="3" t="str">
        <x:v>Kontrollü replay timestamp.</x:v>
      </x:c>
      <x:c r="F60" s="3" t="str">
        <x:v>1. Start−1/Start/Start+1 ve End−1/End/End+1 dene
2. Timer kaçışını sınır dışında üret</x:v>
      </x:c>
      <x:c r="G60" s="3" t="str">
        <x:v>Snapshot dışında yalnız Start&lt;t&lt;End işlenir; koruyucu timer da filtrelenir.</x:v>
      </x:c>
      <x:c r="H60" s="6" t="str"/>
      <x:c r="I60" s="6" t="str"/>
      <x:c r="J60" s="6" t="str">
        <x:v>Test</x:v>
      </x:c>
      <x:c r="K60" s="3" t="str">
        <x:v>Yüksek</x:v>
      </x:c>
      <x:c r="L60" s="3" t="str">
        <x:v>K-238; R09</x:v>
      </x:c>
      <x:c r="M60" s="6" t="str"/>
    </x:row>
    <x:row r="61" ht="54" customHeight="1">
      <x:c r="A61" s="3" t="str">
        <x:v>TC-TBN-U01</x:v>
      </x:c>
      <x:c r="B61" s="6" t="str">
        <x:v>Test Edilmedi</x:v>
      </x:c>
      <x:c r="C61" s="3" t="str">
        <x:v>Arayüz</x:v>
      </x:c>
      <x:c r="D61" s="3" t="str">
        <x:v>Satır ekleme ve kimlik</x:v>
      </x:c>
      <x:c r="E61" s="3" t="str">
        <x:v>G01–G05 hazır.</x:v>
      </x:c>
      <x:c r="F61" s="3" t="str">
        <x:v>1. Hesap/hisse/ID ile ekle
2. Yenile
3. Aynı kimlikle tekrar eklemeyi dene</x:v>
      </x:c>
      <x:c r="G61" s="3" t="str">
        <x:v>Panel/abonelik/sunucu kimlikleri tutarlı olmalı; tekrar ekleme sonucu kanıtla kaydedilir.</x:v>
      </x:c>
      <x:c r="H61" s="6" t="str"/>
      <x:c r="I61" s="6" t="str"/>
      <x:c r="J61" s="6" t="str">
        <x:v>Test</x:v>
      </x:c>
      <x:c r="K61" s="3" t="str">
        <x:v>Yüksek</x:v>
      </x:c>
      <x:c r="L61" s="3" t="str">
        <x:v>P01; gerçek gözlem gerekli</x:v>
      </x:c>
      <x:c r="M61" s="6" t="str"/>
    </x:row>
    <x:row r="62" ht="42" customHeight="1">
      <x:c r="A62" s="3" t="str">
        <x:v>TC-TBN-U02</x:v>
      </x:c>
      <x:c r="B62" s="6" t="str">
        <x:v>Test Edilmedi</x:v>
      </x:c>
      <x:c r="C62" s="3" t="str">
        <x:v>Arayüz</x:v>
      </x:c>
      <x:c r="D62" s="3" t="str">
        <x:v>Snapshot olmadan başlatma</x:v>
      </x:c>
      <x:c r="E62" s="3" t="str">
        <x:v>Ayar verisi henüz yüklenmemiş satır.</x:v>
      </x:c>
      <x:c r="F62" s="3" t="str">
        <x:v>1. Tekli başlat
2. Yüklü/yüksüz karışık toplu başlat</x:v>
      </x:c>
      <x:c r="G62" s="3" t="str">
        <x:v>Teklide uyarı ve komut yok; topluda yüklü satırlar işlenir, eksikler atlanır.</x:v>
      </x:c>
      <x:c r="H62" s="6" t="str"/>
      <x:c r="I62" s="6" t="str"/>
      <x:c r="J62" s="6" t="str">
        <x:v>Test</x:v>
      </x:c>
      <x:c r="K62" s="3" t="str">
        <x:v>Yüksek</x:v>
      </x:c>
      <x:c r="L62" s="3" t="str">
        <x:v>MinPriceTrackerForm; splitLoadedRows</x:v>
      </x:c>
      <x:c r="M62" s="6" t="str"/>
    </x:row>
    <x:row r="63" ht="42" customHeight="1">
      <x:c r="A63" s="3" t="str">
        <x:v>TC-TBN-U03</x:v>
      </x:c>
      <x:c r="B63" s="6" t="str">
        <x:v>Test Edilmedi</x:v>
      </x:c>
      <x:c r="C63" s="3" t="str">
        <x:v>Arayüz</x:v>
      </x:c>
      <x:c r="D63" s="3" t="str">
        <x:v>Canlı state ile başlat/durdur</x:v>
      </x:c>
      <x:c r="E63" s="3" t="str">
        <x:v>Yüklü, çalışan/durmuş karışık satırlar.</x:v>
      </x:c>
      <x:c r="F63" s="3" t="str">
        <x:v>1. Tekli ve toplu düğmeyi dene
2. State ile payloadı karşılaştır</x:v>
      </x:c>
      <x:c r="G63" s="3" t="str">
        <x:v>Canlı Is_Running önceliklidir; karışık seçimde başlat, tamamı çalışıyorsa durdur.</x:v>
      </x:c>
      <x:c r="H63" s="6" t="str"/>
      <x:c r="I63" s="6" t="str"/>
      <x:c r="J63" s="6" t="str">
        <x:v>Test</x:v>
      </x:c>
      <x:c r="K63" s="3" t="str">
        <x:v>Yüksek</x:v>
      </x:c>
      <x:c r="L63" s="3" t="str">
        <x:v>resolveStrategyStart</x:v>
      </x:c>
      <x:c r="M63" s="6" t="str"/>
    </x:row>
    <x:row r="64" ht="54" customHeight="1">
      <x:c r="A64" s="3" t="str">
        <x:v>TC-TBN-U04</x:v>
      </x:c>
      <x:c r="B64" s="6" t="str">
        <x:v>Test Edilmedi</x:v>
      </x:c>
      <x:c r="C64" s="3" t="str">
        <x:v>Arayüz</x:v>
      </x:c>
      <x:c r="D64" s="3" t="str">
        <x:v>Toplu ayar ve korunacak alan</x:v>
      </x:c>
      <x:c r="E64" s="3" t="str">
        <x:v>İki satır farklı ayarlarda.</x:v>
      </x:c>
      <x:c r="F64" s="3" t="str">
        <x:v>1. Yalnız değişen alanları kaydet
2. Tümünü yaz modunu dene
3. Close_Position_First izle</x:v>
      </x:c>
      <x:c r="G64" s="3" t="str">
        <x:v>Seçilen toplu alanlar uygulanır; Close_Position_First iki modda da toplu değişmez.</x:v>
      </x:c>
      <x:c r="H64" s="6" t="str"/>
      <x:c r="I64" s="6" t="str"/>
      <x:c r="J64" s="6" t="str">
        <x:v>Test</x:v>
      </x:c>
      <x:c r="K64" s="3" t="str">
        <x:v>Yüksek</x:v>
      </x:c>
      <x:c r="L64" s="3" t="str">
        <x:v>MIN_PRICE_BULK_RESTRICTED_FIELDS</x:v>
      </x:c>
      <x:c r="M64" s="6" t="str"/>
    </x:row>
    <x:row r="65" ht="68" customHeight="1">
      <x:c r="A65" s="3" t="str">
        <x:v>TC-TBN-U05</x:v>
      </x:c>
      <x:c r="B65" s="6" t="str">
        <x:v>Test Edilmedi</x:v>
      </x:c>
      <x:c r="C65" s="3" t="str">
        <x:v>Arayüz</x:v>
      </x:c>
      <x:c r="D65" s="3" t="str">
        <x:v>Mod dönüşümleri ve validasyon</x:v>
      </x:c>
      <x:c r="E65" s="3" t="str">
        <x:v>Ayar modalı açık.</x:v>
      </x:c>
      <x:c r="F65" s="3" t="str">
        <x:v>1. Lot/yüzde, auto/manuel ve kaçış modlarını değiştir
2. Sıfır giriş/TL, pozitif olmayan auto hedef dene
3. Kaydet ve yeniden aç</x:v>
      </x:c>
      <x:c r="G65" s="3" t="str">
        <x:v>Seçilmeyen karşı alanlar0; giriş/TL ve auto hedef pozitif olmalı; kapalı opsiyonlar temizlenir.</x:v>
      </x:c>
      <x:c r="H65" s="6" t="str"/>
      <x:c r="I65" s="6" t="str"/>
      <x:c r="J65" s="6" t="str">
        <x:v>Test</x:v>
      </x:c>
      <x:c r="K65" s="3" t="str">
        <x:v>Yüksek</x:v>
      </x:c>
      <x:c r="L65" s="3" t="str">
        <x:v>minPriceSettingsSchema; P02–P17</x:v>
      </x:c>
      <x:c r="M65" s="6" t="str"/>
    </x:row>
    <x:row r="66" ht="54" customHeight="1">
      <x:c r="A66" s="3" t="str">
        <x:v>TC-TBN-U06</x:v>
      </x:c>
      <x:c r="B66" s="6" t="str">
        <x:v>Test Edilmedi</x:v>
      </x:c>
      <x:c r="C66" s="3" t="str">
        <x:v>Arayüz</x:v>
      </x:c>
      <x:c r="D66" s="3" t="str">
        <x:v>Taban lotu ve canlı durum</x:v>
      </x:c>
      <x:c r="E66" s="3" t="str">
        <x:v>Bağımsız feed ve motor state kaydı hazır.</x:v>
      </x:c>
      <x:c r="F66" s="3" t="str">
        <x:v>1. minBidLot gösterimini karşılaştır
2. Açık pozisyon/pasif emir/tolerans/PTRM durumlarını gözle</x:v>
      </x:c>
      <x:c r="G66" s="3" t="str">
        <x:v>Ekran verisi motor/state ve feed ile eşleşmeli; eski GUI maxAskLot farkı ürün teyididir.</x:v>
      </x:c>
      <x:c r="H66" s="6" t="str"/>
      <x:c r="I66" s="6" t="str"/>
      <x:c r="J66" s="6" t="str">
        <x:v>Test</x:v>
      </x:c>
      <x:c r="K66" s="3" t="str">
        <x:v>Yüksek</x:v>
      </x:c>
      <x:c r="L66" s="3" t="str">
        <x:v>K-164; R17</x:v>
      </x:c>
      <x:c r="M66" s="6" t="str"/>
    </x:row>
    <x:row r="67" ht="54" customHeight="1">
      <x:c r="A67" s="3" t="str">
        <x:v>TC-TBN-O01</x:v>
      </x:c>
      <x:c r="B67" s="6" t="str">
        <x:v>Test Edilmedi</x:v>
      </x:c>
      <x:c r="C67" s="3" t="str">
        <x:v>Operasyon</x:v>
      </x:c>
      <x:c r="D67" s="3" t="str">
        <x:v>PTRM ret ve yeniden başlatma</x:v>
      </x:c>
      <x:c r="E67" s="3" t="str">
        <x:v>İzole ret harness; elde pozisyon olabilir.</x:v>
      </x:c>
      <x:c r="F67" s="3" t="str">
        <x:v>1. -850002/-850004/-850044/-850064 retlerini ayrı üret
2. State ve start isteğini izle</x:v>
      </x:c>
      <x:c r="G67" s="3" t="str">
        <x:v>Development ilk PTRM retle durur, Stopped_By_Ptrm işaretlenir; eldeki pozisyon otomatik tasfiye varsayılmaz.</x:v>
      </x:c>
      <x:c r="H67" s="6" t="str"/>
      <x:c r="I67" s="6" t="str"/>
      <x:c r="J67" s="6" t="str">
        <x:v>Test</x:v>
      </x:c>
      <x:c r="K67" s="3" t="str">
        <x:v>Yüksek</x:v>
      </x:c>
      <x:c r="L67" s="3" t="str">
        <x:v>K-235; master farkı; R18</x:v>
      </x:c>
      <x:c r="M67" s="6" t="str"/>
    </x:row>
    <x:row r="68" ht="68" customHeight="1">
      <x:c r="A68" s="3" t="str">
        <x:v>TC-TBN-O02</x:v>
      </x:c>
      <x:c r="B68" s="6" t="str">
        <x:v>Test Edilmedi</x:v>
      </x:c>
      <x:c r="C68" s="3" t="str">
        <x:v>Operasyon</x:v>
      </x:c>
      <x:c r="D68" s="3" t="str">
        <x:v>Çalışırken stop ve test sonu</x:v>
      </x:c>
      <x:c r="E68" s="3" t="str">
        <x:v>Açık pozisyon ve pasif satış mevcut.</x:v>
      </x:c>
      <x:c r="F68" s="3" t="str">
        <x:v>1. Stop ver
2. Yeni tetik üret
3. Emir/balanceı bağımsız kontrol et
4. Test emirlerini ayrıca yönet</x:v>
      </x:c>
      <x:c r="G68" s="3" t="str">
        <x:v>Yeni kararlar durur; bekleyen emir/pozisyon otomatik yok sayılmaz. Test sonu açık risk ve tokenlar kayıtlı olmalı.</x:v>
      </x:c>
      <x:c r="H68" s="6" t="str"/>
      <x:c r="I68" s="6" t="str"/>
      <x:c r="J68" s="6" t="str">
        <x:v>Test</x:v>
      </x:c>
      <x:c r="K68" s="3" t="str">
        <x:v>Yüksek</x:v>
      </x:c>
      <x:c r="L68" s="3" t="str">
        <x:v>stop; canlı müşteri hesabında uygulanmaz</x:v>
      </x:c>
      <x:c r="M68" s="6" t="str"/>
    </x:row>
    <x:row r="69" ht="54" customHeight="1">
      <x:c r="A69" s="3" t="str">
        <x:v>TC-TBN-O03</x:v>
      </x:c>
      <x:c r="B69" s="6" t="str">
        <x:v>Test Edilmedi</x:v>
      </x:c>
      <x:c r="C69" s="3" t="str">
        <x:v>Operasyon</x:v>
      </x:c>
      <x:c r="D69" s="3" t="str">
        <x:v>Tiering ve yeniden abonelik</x:v>
      </x:c>
      <x:c r="E69" s="3" t="str">
        <x:v>Test config hotWorkerCount&gt;0, eşikler kayıtlı.</x:v>
      </x:c>
      <x:c r="F69" s="3" t="str">
        <x:v>1. Fiyatı tabana yaklaştır/uzaklaştır
2. Promote/demote ve cooldownu izle
3. Lot/momentum ayarını güncelle</x:v>
      </x:c>
      <x:c r="G69" s="3" t="str">
        <x:v>Tabana yaklaşma yönünde tier geçişleri ve callback abonelikleri güncellenmeli; config yoksa Bloke.</x:v>
      </x:c>
      <x:c r="H69" s="6" t="str"/>
      <x:c r="I69" s="6" t="str"/>
      <x:c r="J69" s="6" t="str">
        <x:v>Test</x:v>
      </x:c>
      <x:c r="K69" s="3" t="str">
        <x:v>Yüksek</x:v>
      </x:c>
      <x:c r="L69" s="3" t="str">
        <x:v>setupTieringSubscription/updateSubscriptionsOnParameterChange</x:v>
      </x:c>
      <x:c r="M69" s="6" t="str"/>
    </x:row>
    <x:row r="70" ht="82" customHeight="1">
      <x:c r="A70" s="3" t="str">
        <x:v>TC-TBN-O04</x:v>
      </x:c>
      <x:c r="B70" s="6" t="str">
        <x:v>Test Edilmedi</x:v>
      </x:c>
      <x:c r="C70" s="3" t="str">
        <x:v>Operasyon</x:v>
      </x:c>
      <x:c r="D70" s="3" t="str">
        <x:v>Başlangıçta önce pozisyonu kapat</x:v>
      </x:c>
      <x:c r="E70" s="3" t="str">
        <x:v>Restore edilmiş pozitif bakiye; Close_Position_First=true.</x:v>
      </x:c>
      <x:c r="F70" s="3" t="str">
        <x:v>1. Tekli ayarla başlat
2. Satış ve yeni giriş sırasını izle</x:v>
      </x:c>
      <x:c r="G70" s="3" t="str">
        <x:v>setCommand alanı okur, ardından restorePositionState açık durumunu balance/pasif satıştan yeniden belirler. Doğrudan anlık satış çağrısı yok; kapanış koşulları ayrıca tetiklenir. Flat olmadan yeni tam hedef alış yok.</x:v>
      </x:c>
      <x:c r="H70" s="6" t="str"/>
      <x:c r="I70" s="6" t="str"/>
      <x:c r="J70" s="6" t="str">
        <x:v>Test</x:v>
      </x:c>
      <x:c r="K70" s="3" t="str">
        <x:v>Yüksek</x:v>
      </x:c>
      <x:c r="L70" s="3" t="str">
        <x:v>P17; restorePositionState/setCommand</x:v>
      </x:c>
      <x:c r="M70" s="6" t="str"/>
    </x:row>
  </x:sheetData>
  <x:mergeCells>
    <x:mergeCell ref="G1:H1"/>
    <x:mergeCell ref="I1:L1"/>
    <x:mergeCell ref="A6:M6"/>
    <x:mergeCell ref="A7:M7"/>
    <x:mergeCell ref="A8:M8"/>
    <x:mergeCell ref="A10:M10"/>
    <x:mergeCell ref="A11:M11"/>
    <x:mergeCell ref="A12:M12"/>
    <x:mergeCell ref="A13:M13"/>
    <x:mergeCell ref="A14:M14"/>
    <x:mergeCell ref="A15:M15"/>
    <x:mergeCell ref="A16:M16"/>
    <x:mergeCell ref="A17:M17"/>
  </x:mergeCells>
  <x:conditionalFormatting sqref="B19:B70">
    <x:cfRule type="cellIs" dxfId="5" priority="1" operator="equal">
      <x:formula>"Başarılı"</x:formula>
    </x:cfRule>
    <x:cfRule type="cellIs" dxfId="6" priority="2" operator="equal">
      <x:formula>"Başarısız"</x:formula>
    </x:cfRule>
    <x:cfRule type="cellIs" dxfId="7" priority="3" operator="equal">
      <x:formula>"Test Ediliyor"</x:formula>
    </x:cfRule>
    <x:cfRule type="cellIs" dxfId="8" priority="4" operator="equal">
      <x:formula>"Kısmen"</x:formula>
    </x:cfRule>
    <x:cfRule type="cellIs" dxfId="9" priority="5" operator="equal">
      <x:formula>"Bloke"</x:formula>
    </x:cfRule>
  </x:conditionalFormatting>
  <x:dataValidations count="3">
    <x:dataValidation type="list" sqref="B19:B70">
      <x:formula1>Listeler!$A$2:$A$7</x:formula1>
    </x:dataValidation>
    <x:dataValidation type="list" sqref="J19:J70">
      <x:formula1>Listeler!$B$2:$B$5</x:formula1>
    </x:dataValidation>
    <x:dataValidation type="list" sqref="K19:K70">
      <x:formula1>Listeler!$C$2:$C$4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f2eb69468641c0"/>
  </x:tableParts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>
      <x:c r="A1" s="3"/>
      <x:c r="B1" s="3"/>
      <x:c r="C1" s="5" t="str">
        <x:v>Proje Adı:</x:v>
      </x:c>
      <x:c r="D1" s="6" t="str">
        <x:v>MTrader</x:v>
      </x:c>
      <x:c r="E1" s="5" t="str">
        <x:v>Testi Hazırlayan:</x:v>
      </x:c>
      <x:c r="F1" s="6" t="str"/>
      <x:c r="G1" s="10" t="str">
        <x:v>ÖZET</x:v>
      </x:c>
      <x:c r="H1" s="10"/>
      <x:c r="I1" s="10" t="str">
        <x:v>SONUÇ DAĞILIMI</x:v>
      </x:c>
      <x:c r="J1" s="10"/>
      <x:c r="K1" s="10"/>
      <x:c r="L1" s="10"/>
      <x:c r="M1" s="3"/>
    </x:row>
    <x:row r="2">
      <x:c r="A2" s="3"/>
      <x:c r="B2" s="3"/>
      <x:c r="C2" s="5" t="str">
        <x:v>Modül Adı:</x:v>
      </x:c>
      <x:c r="D2" s="6" t="str">
        <x:v>Taban (MinPrice / 14)</x:v>
      </x:c>
      <x:c r="E2" s="5" t="str">
        <x:v>Hazırlama Tarihi:</x:v>
      </x:c>
      <x:c r="F2" s="7" t="n">
        <x:v>46321</x:v>
      </x:c>
      <x:c r="G2" s="3" t="str">
        <x:v>Toplam</x:v>
      </x:c>
      <x:c r="H2" s="12" t="n">
        <x:f>COUNTA(A11:A30)</x:f>
        <x:v>20</x:v>
      </x:c>
      <x:c r="I2" s="3" t="str">
        <x:v>Test Edilmedi</x:v>
      </x:c>
      <x:c r="J2" s="12" t="n">
        <x:f>COUNTIF(B11:B30,"Test Edilmedi")</x:f>
        <x:v>20</x:v>
      </x:c>
      <x:c r="K2" s="3" t="str">
        <x:v>Bloke</x:v>
      </x:c>
      <x:c r="L2" s="12" t="n">
        <x:f>COUNTIF(B11:B30,"Bloke")</x:f>
        <x:v>0</x:v>
      </x:c>
      <x:c r="M2" s="3"/>
    </x:row>
    <x:row r="3">
      <x:c r="A3" s="3"/>
      <x:c r="B3" s="3"/>
      <x:c r="C3" s="5" t="str">
        <x:v>Bölüm:</x:v>
      </x:c>
      <x:c r="D3" s="6" t="str">
        <x:v>Regresyon</x:v>
      </x:c>
      <x:c r="E3" s="5" t="str">
        <x:v>Testi Yapan:</x:v>
      </x:c>
      <x:c r="F3" s="6" t="str"/>
      <x:c r="G3" s="3" t="str">
        <x:v>Başarılı</x:v>
      </x:c>
      <x:c r="H3" s="12" t="n">
        <x:f>COUNTIF(B11:B30,"Başarılı")</x:f>
        <x:v>0</x:v>
      </x:c>
      <x:c r="I3" s="3" t="str">
        <x:v>Test Ediliyor</x:v>
      </x:c>
      <x:c r="J3" s="12" t="n">
        <x:f>COUNTIF(B11:B30,"Test Ediliyor")</x:f>
        <x:v>0</x:v>
      </x:c>
      <x:c r="K3" s="3" t="str">
        <x:v>Boş</x:v>
      </x:c>
      <x:c r="L3" s="12" t="n">
        <x:f>COUNTBLANK(B11:B30)</x:f>
        <x:v>0</x:v>
      </x:c>
      <x:c r="M3" s="3"/>
    </x:row>
    <x:row r="4">
      <x:c r="A4" s="3"/>
      <x:c r="B4" s="3"/>
      <x:c r="C4" s="5" t="str">
        <x:v>Dosya Sürümü:</x:v>
      </x:c>
      <x:c r="D4" s="6" t="str">
        <x:v>v1.0</x:v>
      </x:c>
      <x:c r="E4" s="5" t="str">
        <x:v>Test Tarihi:</x:v>
      </x:c>
      <x:c r="F4" s="7" t="str"/>
      <x:c r="G4" s="3" t="str">
        <x:v>Başarısız</x:v>
      </x:c>
      <x:c r="H4" s="12" t="n">
        <x:f>COUNTIF(B11:B30,"Başarısız")</x:f>
        <x:v>0</x:v>
      </x:c>
      <x:c r="I4" s="3" t="str">
        <x:v>Kısmen</x:v>
      </x:c>
      <x:c r="J4" s="12" t="n">
        <x:f>COUNTIF(B11:B30,"Kısmen")</x:f>
        <x:v>0</x:v>
      </x:c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6" customHeight="1">
      <x:c r="A6" s="6" t="str">
        <x:v>Bu sayfa kaynak adayları, ürün/ortam teyitleri ve korunması gereken davranışları içerir. Durum kod değerlendirmesi; Sonuç manuel test kaydıdır. Beklenen Sonuç kaynak gözlemi/test ölçütüdür, ürün onayı yerine geçmez.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36" customHeight="1">
      <x:c r="A7" s="6" t="str">
        <x:v>Her satırda H: gerçekleşen gözlem; I: tarih-saat, GUI/motor sürümü, config, uniqueKey, token/father-ref ve log yolu; M: ekran/kanıt bağlantısı. Bilinmeyen alanlar doldurulmaz. Kısmen yalnız koşulan adımlar açıkça yazıldığında seçilir.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</x:row>
    <x:row r="8" ht="36" customHeight="1">
      <x:c r="A8" s="6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32" customHeight="1">
      <x:c r="A10" s="18" t="str">
        <x:v>Test ID</x:v>
      </x:c>
      <x:c r="B10" s="18" t="str">
        <x:v>Sonuç</x:v>
      </x:c>
      <x:c r="C10" s="18" t="str">
        <x:v>Durum</x:v>
      </x:c>
      <x:c r="D10" s="18" t="str">
        <x:v>Başlık</x:v>
      </x:c>
      <x:c r="E10" s="18" t="str">
        <x:v>Kaynak Bulgusu / Gerekçe</x:v>
      </x:c>
      <x:c r="F10" s="18" t="str">
        <x:v>Test Adımları</x:v>
      </x:c>
      <x:c r="G10" s="18" t="str">
        <x:v>Beklenen Sonuç</x:v>
      </x:c>
      <x:c r="H10" s="18" t="str">
        <x:v>Gerçekleşen Sonuç</x:v>
      </x:c>
      <x:c r="I10" s="18" t="str">
        <x:v>Kanıt / Log Anahtarı</x:v>
      </x:c>
      <x:c r="J10" s="18" t="str">
        <x:v>Ortam</x:v>
      </x:c>
      <x:c r="K10" s="18" t="str">
        <x:v>Öncelik</x:v>
      </x:c>
      <x:c r="L10" s="18" t="str">
        <x:v>Not / Doğrulama</x:v>
      </x:c>
      <x:c r="M10" s="18" t="str">
        <x:v>Ekler</x:v>
      </x:c>
    </x:row>
    <x:row r="11" ht="54" customHeight="1">
      <x:c r="A11" s="3" t="str">
        <x:v>TC-TBN-R01</x:v>
      </x:c>
      <x:c r="B11" s="6" t="str">
        <x:v>Test Edilmedi</x:v>
      </x:c>
      <x:c r="C11" s="3" t="str">
        <x:v>AÇIK</x:v>
      </x:c>
      <x:c r="D11" s="3" t="str">
        <x:v>Kapalı tolerans0 / sınırsız−1</x:v>
      </x:c>
      <x:c r="E11" s="3" t="str">
        <x:v>GUI kapalı seçenekte0; motor0&gt;=0 ile ilk girişte stop.</x:v>
      </x:c>
      <x:c r="F11" s="3" t="str">
        <x:v>Kapalı/pozitif3/ham−1 payloadlarını ayrı temiz koşulda dene.</x:v>
      </x:c>
      <x:c r="G11" s="3" t="str">
        <x:v>Kaynak uyuşmazlığı yeniden üretilir; ürün sınırsız davranışı netleştirilmeden kapalı mod başarılı sayılmaz.</x:v>
      </x:c>
      <x:c r="H11" s="6" t="str"/>
      <x:c r="I11" s="6" t="str"/>
      <x:c r="J11" s="6" t="str">
        <x:v>Replay/Harness</x:v>
      </x:c>
      <x:c r="K11" s="3" t="str">
        <x:v>Yüksek</x:v>
      </x:c>
      <x:c r="L11" s="3" t="str">
        <x:v>K-259; E02; P16</x:v>
      </x:c>
      <x:c r="M11" s="6" t="str"/>
    </x:row>
    <x:row r="12" ht="42" customHeight="1">
      <x:c r="A12" s="3" t="str">
        <x:v>TC-TBN-R02</x:v>
      </x:c>
      <x:c r="B12" s="6" t="str">
        <x:v>Test Edilmedi</x:v>
      </x:c>
      <x:c r="C12" s="3" t="str">
        <x:v>RİSK</x:v>
      </x:c>
      <x:c r="D12" s="3" t="str">
        <x:v>Sabit1000 fiyat ölçeği</x:v>
      </x:c>
      <x:c r="E12" s="3" t="str">
        <x:v>GUI rawToDisplayPrice divider kullanır; motor TL×1000/taban.</x:v>
      </x:c>
      <x:c r="F12" s="3" t="str">
        <x:v>Divider1000 ve farklı ölçekle aynı TL hedefini harness içinde karşılaştır.</x:v>
      </x:c>
      <x:c r="G12" s="3" t="str">
        <x:v>Desteklenen enstrüman ölçeğinde GUI lotu ve motor miktarı eşleşmeli; kapsam dışında ise kayıtla.</x:v>
      </x:c>
      <x:c r="H12" s="6" t="str"/>
      <x:c r="I12" s="6" t="str"/>
      <x:c r="J12" s="6" t="str">
        <x:v>Replay/Harness</x:v>
      </x:c>
      <x:c r="K12" s="3" t="str">
        <x:v>Yüksek</x:v>
      </x:c>
      <x:c r="L12" s="3" t="str">
        <x:v>K-260; A05; P13</x:v>
      </x:c>
      <x:c r="M12" s="6" t="str"/>
    </x:row>
    <x:row r="13" ht="54" customHeight="1">
      <x:c r="A13" s="3" t="str">
        <x:v>TC-TBN-R03</x:v>
      </x:c>
      <x:c r="B13" s="6" t="str">
        <x:v>Test Edilmedi</x:v>
      </x:c>
      <x:c r="C13" s="3" t="str">
        <x:v>AÇIK</x:v>
      </x:c>
      <x:c r="D13" s="3" t="str">
        <x:v>Sıfır lotta açık bayrağı kalması</x:v>
      </x:c>
      <x:c r="E13" s="3" t="str">
        <x:v>openPosition bayrağı/timerı lot&lt;=0 kontrolünden önce kurar; return temizlemez.</x:v>
      </x:c>
      <x:c r="F13" s="3" t="str">
        <x:v>19TL/20TL tabanda tetikle; ayar güncellemeden yeni tetik ver; sonra ayar kaydının toparlanmaya etkisini ayrı izle.</x:v>
      </x:c>
      <x:c r="G13" s="3" t="str">
        <x:v>Emir gönderilmediği halde açık bayrağı görülmesi adayın kanıtıdır; beklenen düzeltilmiş durum temiz flat.</x:v>
      </x:c>
      <x:c r="H13" s="6" t="str"/>
      <x:c r="I13" s="6" t="str"/>
      <x:c r="J13" s="6" t="str">
        <x:v>Replay/Harness</x:v>
      </x:c>
      <x:c r="K13" s="3" t="str">
        <x:v>Yüksek</x:v>
      </x:c>
      <x:c r="L13" s="3" t="str">
        <x:v>K-261; A06</x:v>
      </x:c>
      <x:c r="M13" s="6" t="str"/>
    </x:row>
    <x:row r="14" ht="54" customHeight="1">
      <x:c r="A14" s="3" t="str">
        <x:v>TC-TBN-R04</x:v>
      </x:c>
      <x:c r="B14" s="6" t="str">
        <x:v>Test Edilmedi</x:v>
      </x:c>
      <x:c r="C14" s="3" t="str">
        <x:v>RİSK</x:v>
      </x:c>
      <x:c r="D14" s="3" t="str">
        <x:v>Satış gönderilmeden isExiting</x:v>
      </x:c>
      <x:c r="E14" s="3" t="str">
        <x:v>dumpPositionAtTaban tutar korumasında döner; closePosition sonuç kontrol etmeden isExiting=true yapar.</x:v>
      </x:c>
      <x:c r="F14" s="3" t="str">
        <x:v>Harness: balance×tabanPrice&gt;MAX_SELL_NOTIONAL, satış depth boş; iki kaçış üret.</x:v>
      </x:c>
      <x:c r="G14" s="3" t="str">
        <x:v>Satış yokken çıkış sürüyor bayrağı ve sonraki kaçışın atlanması izlenir; erişilebilir gerçek tutar ayrıca teyit.</x:v>
      </x:c>
      <x:c r="H14" s="6" t="str"/>
      <x:c r="I14" s="6" t="str"/>
      <x:c r="J14" s="6" t="str">
        <x:v>Replay/Harness</x:v>
      </x:c>
      <x:c r="K14" s="3" t="str">
        <x:v>Yüksek</x:v>
      </x:c>
      <x:c r="L14" s="3" t="str">
        <x:v>K-262; C10</x:v>
      </x:c>
      <x:c r="M14" s="6" t="str"/>
    </x:row>
    <x:row r="15" ht="42" customHeight="1">
      <x:c r="A15" s="3" t="str">
        <x:v>TC-TBN-R05</x:v>
      </x:c>
      <x:c r="B15" s="6" t="str">
        <x:v>Test Edilmedi</x:v>
      </x:c>
      <x:c r="C15" s="3" t="str">
        <x:v>REGRESYON</x:v>
      </x:c>
      <x:c r="D15" s="3" t="str">
        <x:v>Sıfır-fill IOC toparlanması</x:v>
      </x:c>
      <x:c r="E15" s="3" t="str">
        <x:v>Accept+cancel veya ret sonrasında resetPositionIfFlat var.</x:v>
      </x:c>
      <x:c r="F15" s="3" t="str">
        <x:v>Sıfır fill ve tam ret callback sıralarını dene.</x:v>
      </x:c>
      <x:c r="G15" s="3" t="str">
        <x:v>Flat bayrakları temiz; toleranceCounter artmaz; sonraki giriş mümkün.</x:v>
      </x:c>
      <x:c r="H15" s="6" t="str"/>
      <x:c r="I15" s="6" t="str"/>
      <x:c r="J15" s="6" t="str">
        <x:v>Replay/Harness</x:v>
      </x:c>
      <x:c r="K15" s="3" t="str">
        <x:v>Yüksek</x:v>
      </x:c>
      <x:c r="L15" s="3" t="str">
        <x:v>A09; resetPositionIfFlat</x:v>
      </x:c>
      <x:c r="M15" s="6" t="str"/>
    </x:row>
    <x:row r="16" ht="42" customHeight="1">
      <x:c r="A16" s="3" t="str">
        <x:v>TC-TBN-R06</x:v>
      </x:c>
      <x:c r="B16" s="6" t="str">
        <x:v>Test Edilmedi</x:v>
      </x:c>
      <x:c r="C16" s="3" t="str">
        <x:v>REGRESYON</x:v>
      </x:c>
      <x:c r="D16" s="3" t="str">
        <x:v>Parçalı fill tek satış ailesi</x:v>
      </x:c>
      <x:c r="E16" s="3" t="str">
        <x:v>Satış, kabul kapısı ve buyDepth boşalmasından sonra toplam balance ile.</x:v>
      </x:c>
      <x:c r="F16" s="3" t="str">
        <x:v>Çok child fill/iptal/ret permütasyonları üret.</x:v>
      </x:c>
      <x:c r="G16" s="3" t="str">
        <x:v>Bir tur için tek toplu satış ailesi; toplam satış gerçek balanceı aşmaz.</x:v>
      </x:c>
      <x:c r="H16" s="6" t="str"/>
      <x:c r="I16" s="6" t="str"/>
      <x:c r="J16" s="6" t="str">
        <x:v>Replay/Harness</x:v>
      </x:c>
      <x:c r="K16" s="3" t="str">
        <x:v>Yüksek</x:v>
      </x:c>
      <x:c r="L16" s="3" t="str">
        <x:v>A10/B03; maybePlaceAggregateAutoSell</x:v>
      </x:c>
      <x:c r="M16" s="6" t="str"/>
    </x:row>
    <x:row r="17" ht="68" customHeight="1">
      <x:c r="A17" s="3" t="str">
        <x:v>TC-TBN-R07</x:v>
      </x:c>
      <x:c r="B17" s="6" t="str">
        <x:v>Test Edilmedi</x:v>
      </x:c>
      <x:c r="C17" s="3" t="str">
        <x:v>REGRESYON</x:v>
      </x:c>
      <x:c r="D17" s="3" t="str">
        <x:v>Pending niyetin ömrü ve flat kapısı</x:v>
      </x:c>
      <x:c r="E17" s="3" t="str">
        <x:v>2ms TTL; önceki bakiye/pasif emir temizlenmeden giriş yok.</x:v>
      </x:c>
      <x:c r="F17" s="3" t="str">
        <x:v>Callbackleri TTL içi/dışı geciktir; defteri veya running durumunu değiştir.</x:v>
      </x:c>
      <x:c r="G17" s="3" t="str">
        <x:v>TTL aşımı, durmuş strateji veya satış başının tabandan ayrılması niyeti temizler; lot eşiği/cooldown bu callbackte yeniden kontrol edilmiyor. Yeni tam hedef bakiye üstüne eklenmez.</x:v>
      </x:c>
      <x:c r="H17" s="6" t="str"/>
      <x:c r="I17" s="6" t="str"/>
      <x:c r="J17" s="6" t="str">
        <x:v>Replay/Harness</x:v>
      </x:c>
      <x:c r="K17" s="3" t="str">
        <x:v>Yüksek</x:v>
      </x:c>
      <x:c r="L17" s="3" t="str">
        <x:v>A11; tryConsumePendingOpenAfterClose</x:v>
      </x:c>
      <x:c r="M17" s="6" t="str"/>
    </x:row>
    <x:row r="18" ht="42" customHeight="1">
      <x:c r="A18" s="3" t="str">
        <x:v>TC-TBN-R08</x:v>
      </x:c>
      <x:c r="B18" s="6" t="str">
        <x:v>Test Edilmedi</x:v>
      </x:c>
      <x:c r="C18" s="3" t="str">
        <x:v>REGRESYON</x:v>
      </x:c>
      <x:c r="D18" s="3" t="str">
        <x:v>Auto-sell kabulü ile escape yarışı</x:v>
      </x:c>
      <x:c r="E18" s="3" t="str">
        <x:v>Auto-sell gönderimi kabul kapısını kapatır; callback kaçışı tekrar kuyruğa alır.</x:v>
      </x:c>
      <x:c r="F18" s="3" t="str">
        <x:v>Auto-sell accept gecikirken kaçış; sonra accept/fill üret.</x:v>
      </x:c>
      <x:c r="G18" s="3" t="str">
        <x:v>Mükerrer satış yok; gerektiğinde mevcut satış tabana taşınır.</x:v>
      </x:c>
      <x:c r="H18" s="6" t="str"/>
      <x:c r="I18" s="6" t="str"/>
      <x:c r="J18" s="6" t="str">
        <x:v>Replay/Harness</x:v>
      </x:c>
      <x:c r="K18" s="3" t="str">
        <x:v>Yüksek</x:v>
      </x:c>
      <x:c r="L18" s="3" t="str">
        <x:v>B05; recheckEscape</x:v>
      </x:c>
      <x:c r="M18" s="6" t="str"/>
    </x:row>
    <x:row r="19" ht="42" customHeight="1">
      <x:c r="A19" s="3" t="str">
        <x:v>TC-TBN-R09</x:v>
      </x:c>
      <x:c r="B19" s="6" t="str">
        <x:v>Test Edilmedi</x:v>
      </x:c>
      <x:c r="C19" s="3" t="str">
        <x:v>RİSK</x:v>
      </x:c>
      <x:c r="D19" s="3" t="str">
        <x:v>Zaman filtresi ve timer saatleri</x:v>
      </x:c>
      <x:c r="E19" s="3" t="str">
        <x:v>Start&lt;t&lt;End timer için de geçerli; hold ITCH/system, scheduler steady clock.</x:v>
      </x:c>
      <x:c r="F19" s="3" t="str">
        <x:v>Sessiz defter, gecikmiş timestamp ve saat aralığı dışı timerı ayrı dene.</x:v>
      </x:c>
      <x:c r="G19" s="3" t="str">
        <x:v>Sınır dışı koruyucu çıkış atlanması kaydedilir; replay saati ile gerçek saat uyumu şart.</x:v>
      </x:c>
      <x:c r="H19" s="6" t="str"/>
      <x:c r="I19" s="6" t="str"/>
      <x:c r="J19" s="6" t="str">
        <x:v>Replay/Harness</x:v>
      </x:c>
      <x:c r="K19" s="3" t="str">
        <x:v>Yüksek</x:v>
      </x:c>
      <x:c r="L19" s="3" t="str">
        <x:v>Mevcut K-238; C04/E06</x:v>
      </x:c>
      <x:c r="M19" s="6" t="str"/>
    </x:row>
    <x:row r="20" ht="42" customHeight="1">
      <x:c r="A20" s="3" t="str">
        <x:v>TC-TBN-R10</x:v>
      </x:c>
      <x:c r="B20" s="6" t="str">
        <x:v>Test Edilmedi</x:v>
      </x:c>
      <x:c r="C20" s="3" t="str">
        <x:v>ÜRÜN KARARI</x:v>
      </x:c>
      <x:c r="D20" s="3" t="str">
        <x:v>Tek kademe≤ / tüm kademeler&lt;</x:v>
      </x:c>
      <x:c r="E20" s="3" t="str">
        <x:v>Kaynak iki farklı eşitlik sınırını açıkça kullanır.</x:v>
      </x:c>
      <x:c r="F20" s="3" t="str">
        <x:v>Escape200; toplam/baş lot199,200,201 ile iki modu karşılaştır.</x:v>
      </x:c>
      <x:c r="G20" s="3" t="str">
        <x:v>Tek kademe200de kaçış; toplam200de değil. Ürün beklentisi ayrıca onaylanır.</x:v>
      </x:c>
      <x:c r="H20" s="6" t="str"/>
      <x:c r="I20" s="6" t="str"/>
      <x:c r="J20" s="6" t="str">
        <x:v>Replay/Harness</x:v>
      </x:c>
      <x:c r="K20" s="3" t="str">
        <x:v>Yüksek</x:v>
      </x:c>
      <x:c r="L20" s="3" t="str">
        <x:v>C05/C07; yeni hata iddiası değil</x:v>
      </x:c>
      <x:c r="M20" s="6" t="str"/>
    </x:row>
    <x:row r="21" ht="42" customHeight="1">
      <x:c r="A21" s="3" t="str">
        <x:v>TC-TBN-R11</x:v>
      </x:c>
      <x:c r="B21" s="6" t="str">
        <x:v>Test Edilmedi</x:v>
      </x:c>
      <x:c r="C21" s="3" t="str">
        <x:v>ÜRÜN KARARI</x:v>
      </x:c>
      <x:c r="D21" s="3" t="str">
        <x:v>Hold koruyucu destek çıkışını da geciktirir</x:v>
      </x:c>
      <x:c r="E21" s="3" t="str">
        <x:v>ReClose süresi destek çöküşü yoluna da uygulanır.</x:v>
      </x:c>
      <x:c r="F21" s="3" t="str">
        <x:v>Hold içinde/sonunda aynı düşük destek verisini üret.</x:v>
      </x:c>
      <x:c r="G21" s="3" t="str">
        <x:v>Kaynak davranışı ve kabul edilen koruma gecikmesi ayrı kaydedilir.</x:v>
      </x:c>
      <x:c r="H21" s="6" t="str"/>
      <x:c r="I21" s="6" t="str"/>
      <x:c r="J21" s="6" t="str">
        <x:v>Replay/Harness</x:v>
      </x:c>
      <x:c r="K21" s="3" t="str">
        <x:v>Yüksek</x:v>
      </x:c>
      <x:c r="L21" s="3" t="str">
        <x:v>C08; shouldEscapePosition</x:v>
      </x:c>
      <x:c r="M21" s="6" t="str"/>
    </x:row>
    <x:row r="22" ht="42" customHeight="1">
      <x:c r="A22" s="3" t="str">
        <x:v>TC-TBN-R12</x:v>
      </x:c>
      <x:c r="B22" s="6" t="str">
        <x:v>Test Edilmedi</x:v>
      </x:c>
      <x:c r="C22" s="3" t="str">
        <x:v>REGRESYON</x:v>
      </x:c>
      <x:c r="D22" s="3" t="str">
        <x:v>Father-ref taşması engeli</x:v>
      </x:c>
      <x:c r="E22" s="3" t="str">
        <x:v>Taban kalan&lt;=qty durumunda0a clamp yapıyor; Tavan hatası burada taşınmaz.</x:v>
      </x:c>
      <x:c r="F22" s="3" t="str">
        <x:v>Kalan0/3/5 iken gelen5; tekrarlanan replace callbackini dene.</x:v>
      </x:c>
      <x:c r="G22" s="3" t="str">
        <x:v>Kalan hiçbir koşulda uint64 büyük değere sarmaz; sıfırda kabul kapısı açılır.</x:v>
      </x:c>
      <x:c r="H22" s="6" t="str"/>
      <x:c r="I22" s="6" t="str"/>
      <x:c r="J22" s="6" t="str">
        <x:v>Replay/Harness</x:v>
      </x:c>
      <x:c r="K22" s="3" t="str">
        <x:v>Yüksek</x:v>
      </x:c>
      <x:c r="L22" s="3" t="str">
        <x:v>updateQtyForFatherOrderRef; C09</x:v>
      </x:c>
      <x:c r="M22" s="6" t="str"/>
    </x:row>
    <x:row r="23" ht="42" customHeight="1">
      <x:c r="A23" s="3" t="str">
        <x:v>TC-TBN-R13</x:v>
      </x:c>
      <x:c r="B23" s="6" t="str">
        <x:v>Test Edilmedi</x:v>
      </x:c>
      <x:c r="C23" s="3" t="str">
        <x:v>TEYİT BEKLİYOR</x:v>
      </x:c>
      <x:c r="D23" s="3" t="str">
        <x:v>Tick bandı geçişi</x:v>
      </x:c>
      <x:c r="E23" s="3" t="str">
        <x:v>Fiyat hesabı tabandaki tek tick ile ileri taşınıyor.</x:v>
      </x:c>
      <x:c r="F23" s="3" t="str">
        <x:v>Hedef başka tick bandına geçecek sentetik enstrüman seç; geçerli fiyatlarla karşılaştır.</x:v>
      </x:c>
      <x:c r="G23" s="3" t="str">
        <x:v>Desteklenen enstrümanda hedefin geçerli fiyat olması kanıtlanır; otomatik doğru varsayılmaz.</x:v>
      </x:c>
      <x:c r="H23" s="6" t="str"/>
      <x:c r="I23" s="6" t="str"/>
      <x:c r="J23" s="6" t="str">
        <x:v>Replay/Harness</x:v>
      </x:c>
      <x:c r="K23" s="3" t="str">
        <x:v>Yüksek</x:v>
      </x:c>
      <x:c r="L23" s="3" t="str">
        <x:v>B01/B02; computeAutoSellPriceAboveTaban</x:v>
      </x:c>
      <x:c r="M23" s="6" t="str"/>
    </x:row>
    <x:row r="24" ht="54" customHeight="1">
      <x:c r="A24" s="3" t="str">
        <x:v>TC-TBN-R14</x:v>
      </x:c>
      <x:c r="B24" s="6" t="str">
        <x:v>Test Edilmedi</x:v>
      </x:c>
      <x:c r="C24" s="3" t="str">
        <x:v>TEYİT BEKLİYOR</x:v>
      </x:c>
      <x:c r="D24" s="3" t="str">
        <x:v>Eksik/çelişkili auto hedef</x:v>
      </x:c>
      <x:c r="E24" s="3" t="str">
        <x:v>Motor auto defaulttrue, GUIfalse; iki hedef pozitifse motor kademe, GUI decode yüzde öncelikli.</x:v>
      </x:c>
      <x:c r="F24" s="3" t="str">
        <x:v>Eksik Is_Sell_Mode_Auto ve iki hedefli legacy snapshotı ayrı round-trip yap.</x:v>
      </x:c>
      <x:c r="G24" s="3" t="str">
        <x:v>Normal GUI payloadıyla legacy/eksik veri ayrılır; fiyat üretilemezse satış yokluğu kaydedilir.</x:v>
      </x:c>
      <x:c r="H24" s="6" t="str"/>
      <x:c r="I24" s="6" t="str"/>
      <x:c r="J24" s="6" t="str">
        <x:v>Replay/Harness</x:v>
      </x:c>
      <x:c r="K24" s="3" t="str">
        <x:v>Yüksek</x:v>
      </x:c>
      <x:c r="L24" s="3" t="str">
        <x:v>B06; MinPriceCommand/minPriceSettings</x:v>
      </x:c>
      <x:c r="M24" s="6" t="str"/>
    </x:row>
    <x:row r="25" ht="42" customHeight="1">
      <x:c r="A25" s="3" t="str">
        <x:v>TC-TBN-R15</x:v>
      </x:c>
      <x:c r="B25" s="6" t="str">
        <x:v>Test Edilmedi</x:v>
      </x:c>
      <x:c r="C25" s="3" t="str">
        <x:v>REGRESYON</x:v>
      </x:c>
      <x:c r="D25" s="3" t="str">
        <x:v>Manuel cancel ACK sonrası kaçış</x:v>
      </x:c>
      <x:c r="E25" s="3" t="str">
        <x:v>Satış iptalinde stale isExiting temizleme ve recheckEscape var.</x:v>
      </x:c>
      <x:c r="F25" s="3" t="str">
        <x:v>Cancel uçuşta iken close; ACK sonrası defteri sessiz bırak.</x:v>
      </x:c>
      <x:c r="G25" s="3" t="str">
        <x:v>Pozitif bakiye ve geçerli kaçış koşulunda gerçek satış tekrar denenir.</x:v>
      </x:c>
      <x:c r="H25" s="6" t="str"/>
      <x:c r="I25" s="6" t="str"/>
      <x:c r="J25" s="6" t="str">
        <x:v>Replay/Harness</x:v>
      </x:c>
      <x:c r="K25" s="3" t="str">
        <x:v>Yüksek</x:v>
      </x:c>
      <x:c r="L25" s="3" t="str">
        <x:v>D06; deleteOrder</x:v>
      </x:c>
      <x:c r="M25" s="6" t="str"/>
    </x:row>
    <x:row r="26" ht="54" customHeight="1">
      <x:c r="A26" s="3" t="str">
        <x:v>TC-TBN-R16</x:v>
      </x:c>
      <x:c r="B26" s="6" t="str">
        <x:v>Test Edilmedi</x:v>
      </x:c>
      <x:c r="C26" s="3" t="str">
        <x:v>TEYİT BEKLİYOR</x:v>
      </x:c>
      <x:c r="D26" s="3" t="str">
        <x:v>Manuel satışın stratejiyle eşleşmesi</x:v>
      </x:c>
      <x:c r="E26" s="3" t="str">
        <x:v>executeOrder yalnız orderMap içinde bulunan tokenı işler; serbest emir ayrı rota olabilir.</x:v>
      </x:c>
      <x:c r="F26" s="3" t="str">
        <x:v>İlgili stratejiden satış ve bağımsız manuel satışın token/balance rotasını ayrı izle.</x:v>
      </x:c>
      <x:c r="G26" s="3" t="str">
        <x:v>Hesap flat olması ile strateji flat olması kanıtla eşleştirilir; bilinmeyen rota başarılı sayılmaz.</x:v>
      </x:c>
      <x:c r="H26" s="6" t="str"/>
      <x:c r="I26" s="6" t="str"/>
      <x:c r="J26" s="6" t="str">
        <x:v>Replay/Harness</x:v>
      </x:c>
      <x:c r="K26" s="3" t="str">
        <x:v>Yüksek</x:v>
      </x:c>
      <x:c r="L26" s="3" t="str">
        <x:v>Mevcut K-212; B04</x:v>
      </x:c>
      <x:c r="M26" s="6" t="str"/>
    </x:row>
    <x:row r="27" ht="42" customHeight="1">
      <x:c r="A27" s="3" t="str">
        <x:v>TC-TBN-R17</x:v>
      </x:c>
      <x:c r="B27" s="6" t="str">
        <x:v>Test Edilmedi</x:v>
      </x:c>
      <x:c r="C27" s="3" t="str">
        <x:v>ÜRÜN KARARI</x:v>
      </x:c>
      <x:c r="D27" s="3" t="str">
        <x:v>Taban Lotu gösterim sözleşmesi</x:v>
      </x:c>
      <x:c r="E27" s="3" t="str">
        <x:v>Yeni GUI minBidLot, eski GUI maxAskLot farkı mevcut K-164.</x:v>
      </x:c>
      <x:c r="F27" s="3" t="str">
        <x:v>Aynı feed görüntüsünde yeni hücreyi ve ürünün istediği anlamı karşılaştır.</x:v>
      </x:c>
      <x:c r="G27" s="3" t="str">
        <x:v>Görüntü ve anlam ayrı doğrulanır; eski GUI farkı yeni GUI motor hatası sayılmaz.</x:v>
      </x:c>
      <x:c r="H27" s="6" t="str"/>
      <x:c r="I27" s="6" t="str"/>
      <x:c r="J27" s="6" t="str">
        <x:v>Replay/Harness</x:v>
      </x:c>
      <x:c r="K27" s="3" t="str">
        <x:v>Yüksek</x:v>
      </x:c>
      <x:c r="L27" s="3" t="str">
        <x:v>U06; K-164</x:v>
      </x:c>
      <x:c r="M27" s="6" t="str"/>
    </x:row>
    <x:row r="28" ht="42" customHeight="1">
      <x:c r="A28" s="3" t="str">
        <x:v>TC-TBN-R18</x:v>
      </x:c>
      <x:c r="B28" s="6" t="str">
        <x:v>Test Edilmedi</x:v>
      </x:c>
      <x:c r="C28" s="3" t="str">
        <x:v>REGRESYON</x:v>
      </x:c>
      <x:c r="D28" s="3" t="str">
        <x:v>PTRM ve branch ayrımı</x:v>
      </x:c>
      <x:c r="E28" s="3" t="str">
        <x:v>Development ilk PTRM rette durur; master aynı davranışta değil.</x:v>
      </x:c>
      <x:c r="F28" s="3" t="str">
        <x:v>Dört PTRM kodunu development harnessinde üret; sürümü kaydet.</x:v>
      </x:c>
      <x:c r="G28" s="3" t="str">
        <x:v>Runningfalse, PTRM işareti ve eldeki bakiye korunması izlenir; mastera genellenmez.</x:v>
      </x:c>
      <x:c r="H28" s="6" t="str"/>
      <x:c r="I28" s="6" t="str"/>
      <x:c r="J28" s="6" t="str">
        <x:v>Replay/Harness</x:v>
      </x:c>
      <x:c r="K28" s="3" t="str">
        <x:v>Yüksek</x:v>
      </x:c>
      <x:c r="L28" s="3" t="str">
        <x:v>Mevcut K-235; O01</x:v>
      </x:c>
      <x:c r="M28" s="6" t="str"/>
    </x:row>
    <x:row r="29" ht="54" customHeight="1">
      <x:c r="A29" s="3" t="str">
        <x:v>TC-TBN-R19</x:v>
      </x:c>
      <x:c r="B29" s="6" t="str">
        <x:v>Test Edilmedi</x:v>
      </x:c>
      <x:c r="C29" s="3" t="str">
        <x:v>KAPSAM DIŞI</x:v>
      </x:c>
      <x:c r="D29" s="3" t="str">
        <x:v>Satışla bitir ve eski reClose alanları</x:v>
      </x:c>
      <x:c r="E29" s="3" t="str">
        <x:v>Yeni GUI Finish_With_Sell göndermiyor; development Re_Close_Lot/Percentage kullanmıyor.</x:v>
      </x:c>
      <x:c r="F29" s="3" t="str">
        <x:v>Payload/ayar modalını incele; legacy alanları ayrı envantere al.</x:v>
      </x:c>
      <x:c r="G29" s="3" t="str">
        <x:v>Eksik GUI kontrolü diye hata açılmaz; mevcut ürün kararı ve branch kapsamı korunur.</x:v>
      </x:c>
      <x:c r="H29" s="6" t="str"/>
      <x:c r="I29" s="6" t="str"/>
      <x:c r="J29" s="6" t="str">
        <x:v>Replay/Harness</x:v>
      </x:c>
      <x:c r="K29" s="3" t="str">
        <x:v>Yüksek</x:v>
      </x:c>
      <x:c r="L29" s="3" t="str">
        <x:v>P18/P24; ürün kararı2026-09-25</x:v>
      </x:c>
      <x:c r="M29" s="6" t="str"/>
    </x:row>
    <x:row r="30" ht="42" customHeight="1">
      <x:c r="A30" s="3" t="str">
        <x:v>TC-TBN-R20</x:v>
      </x:c>
      <x:c r="B30" s="6" t="str">
        <x:v>Test Edilmedi</x:v>
      </x:c>
      <x:c r="C30" s="3" t="str">
        <x:v>REGRESYON</x:v>
      </x:c>
      <x:c r="D30" s="3" t="str">
        <x:v>Toplu ayarda tekli koruma alanı</x:v>
      </x:c>
      <x:c r="E30" s="3" t="str">
        <x:v>Close_Position_First toplu alan listesinin dışında ve overwrite-all filtresinde.</x:v>
      </x:c>
      <x:c r="F30" s="3" t="str">
        <x:v>İki farklı değerdeki satırı her iki toplu kayıt moduyla güncelle.</x:v>
      </x:c>
      <x:c r="G30" s="3" t="str">
        <x:v>Close_Position_First değişmez; yalnız tekli ayar yolunda değiştirilebilir.</x:v>
      </x:c>
      <x:c r="H30" s="6" t="str"/>
      <x:c r="I30" s="6" t="str"/>
      <x:c r="J30" s="6" t="str">
        <x:v>Replay/Harness</x:v>
      </x:c>
      <x:c r="K30" s="3" t="str">
        <x:v>Yüksek</x:v>
      </x:c>
      <x:c r="L30" s="3" t="str">
        <x:v>U04; P17</x:v>
      </x:c>
      <x:c r="M30" s="6" t="str"/>
    </x:row>
  </x:sheetData>
  <x:mergeCells>
    <x:mergeCell ref="G1:H1"/>
    <x:mergeCell ref="I1:L1"/>
    <x:mergeCell ref="A6:M6"/>
    <x:mergeCell ref="A7:M7"/>
    <x:mergeCell ref="A8:M8"/>
  </x:mergeCells>
  <x:conditionalFormatting sqref="B11:B30">
    <x:cfRule type="cellIs" dxfId="10" priority="1" operator="equal">
      <x:formula>"Başarılı"</x:formula>
    </x:cfRule>
    <x:cfRule type="cellIs" dxfId="11" priority="2" operator="equal">
      <x:formula>"Başarısız"</x:formula>
    </x:cfRule>
    <x:cfRule type="cellIs" dxfId="12" priority="3" operator="equal">
      <x:formula>"Test Ediliyor"</x:formula>
    </x:cfRule>
    <x:cfRule type="cellIs" dxfId="13" priority="4" operator="equal">
      <x:formula>"Kısmen"</x:formula>
    </x:cfRule>
    <x:cfRule type="cellIs" dxfId="14" priority="5" operator="equal">
      <x:formula>"Bloke"</x:formula>
    </x:cfRule>
  </x:conditionalFormatting>
  <x:dataValidations count="4">
    <x:dataValidation type="list" sqref="B11:B30">
      <x:formula1>Listeler!$A$2:$A$7</x:formula1>
    </x:dataValidation>
    <x:dataValidation type="list" sqref="J11:J30">
      <x:formula1>Listeler!$B$2:$B$5</x:formula1>
    </x:dataValidation>
    <x:dataValidation type="list" sqref="K11:K30">
      <x:formula1>Listeler!$C$2:$C$4</x:formula1>
    </x:dataValidation>
    <x:dataValidation type="list" sqref="C11:C30">
      <x:formula1>Listeler!$D$2:$D$7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a48667ba264845"/>
  </x:tableParts>
</x:worksheet>
</file>

<file path=xl/worksheets/sheet4.xml><?xml version="1.0" encoding="utf-8"?>
<x:worksheet xmlns:x="http://schemas.openxmlformats.org/spreadsheetml/2006/main">
  <x:sheetPr>
    <x:tabColor rgb="FF92D0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3" hidden="0" customWidth="1"/>
    <x:col min="3" max="3" width="57" hidden="0" customWidth="1"/>
    <x:col min="4" max="4" width="22" hidden="0" customWidth="1"/>
    <x:col min="5" max="5" width="78" hidden="0" customWidth="1"/>
    <x:col min="6" max="6" width="68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 ht="30" customHeight="1">
      <x:c r="A1" s="19" t="str">
        <x:v>Taban — Parametre Eşleştirme</x:v>
      </x:c>
      <x:c r="B1" s="19"/>
      <x:c r="C1" s="19"/>
      <x:c r="D1" s="19"/>
      <x:c r="E1" s="19"/>
      <x:c r="F1" s="19"/>
      <x:c r="G1" s="3"/>
      <x:c r="H1" s="3"/>
      <x:c r="I1" s="3"/>
      <x:c r="J1" s="3"/>
      <x:c r="K1" s="3"/>
      <x:c r="L1" s="3"/>
      <x:c r="M1" s="3"/>
    </x:row>
    <x:row r="2" ht="45" customHeight="1">
      <x:c r="A2" s="3" t="str">
        <x:v>26.10.2026 kaynak incelemesi: HftSrvProd development 4275ccc (master052dd96); yeni GUI development b0474c3; SDK c2b5060; order-service26e9a02. Fetch yapıldı. Çalışan binary/config ve test tarihi ayrıca kaydedilir. Statik bulgu başarılı/başarısız manuel test değildir.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40" customHeight="1">
      <x:c r="A3" s="3" t="str">
        <x:v>Kaynak kısaltmaları: GUI=minPriceSettings/minPricePayload/MinPriceTrackerForm; motor=HftMinPrice/MinPriceCommand. Tam yollar ve commitler taban-inceleme-2026-10-26.md içinde. Eşleşiyor etiketi manuel test başarısı değildir.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17" t="str">
        <x:v>Ref</x:v>
      </x:c>
      <x:c r="B5" s="17" t="str">
        <x:v>Arayüz Etiketi</x:v>
      </x:c>
      <x:c r="C5" s="17" t="str">
        <x:v>Motor Parametresi / Birim</x:v>
      </x:c>
      <x:c r="D5" s="17" t="str">
        <x:v>Durum</x:v>
      </x:c>
      <x:c r="E5" s="17" t="str">
        <x:v>Not / Test Bağı</x:v>
      </x:c>
      <x:c r="F5" s="17" t="str">
        <x:v>Kaynak Sembolü</x:v>
      </x:c>
      <x:c r="G5" s="3"/>
      <x:c r="H5" s="3"/>
      <x:c r="I5" s="3"/>
      <x:c r="J5" s="3"/>
      <x:c r="K5" s="3"/>
      <x:c r="L5" s="3"/>
      <x:c r="M5" s="3"/>
    </x:row>
    <x:row r="6" ht="42" customHeight="1">
      <x:c r="A6" s="3" t="str">
        <x:v>P01</x:v>
      </x:c>
      <x:c r="B6" s="3" t="str">
        <x:v>Strateji kimliği</x:v>
      </x:c>
      <x:c r="C6" s="3" t="str">
        <x:v>Strategy_Type=14; Hft_Type=5</x:v>
      </x:c>
      <x:c r="D6" s="3" t="str">
        <x:v>Eşleşiyor</x:v>
      </x:c>
      <x:c r="E6" s="3" t="str">
        <x:v>G05/U01; uniqueKey son eki14</x:v>
      </x:c>
      <x:c r="F6" s="3" t="str">
        <x:v>GUI minPricePayload; motor MinPriceCommand</x:v>
      </x:c>
      <x:c r="G6" s="3"/>
      <x:c r="H6" s="3"/>
      <x:c r="I6" s="3"/>
      <x:c r="J6" s="3"/>
      <x:c r="K6" s="3"/>
      <x:c r="L6" s="3"/>
      <x:c r="M6" s="3"/>
    </x:row>
    <x:row r="7" ht="42" customHeight="1">
      <x:c r="A7" s="3" t="str">
        <x:v>P02</x:v>
      </x:c>
      <x:c r="B7" s="3" t="str">
        <x:v>Giriş lotu</x:v>
      </x:c>
      <x:c r="C7" s="3" t="str">
        <x:v>Enter_Lot Int / lot</x:v>
      </x:c>
      <x:c r="D7" s="3" t="str">
        <x:v>Eşleşiyor</x:v>
      </x:c>
      <x:c r="E7" s="3" t="str">
        <x:v>A02; yüzde modu seçilince0</x:v>
      </x:c>
      <x:c r="F7" s="3" t="str">
        <x:v>GUI minPriceSettings; motor enterTriggerQty</x:v>
      </x:c>
      <x:c r="G7" s="3"/>
      <x:c r="H7" s="3"/>
      <x:c r="I7" s="3"/>
      <x:c r="J7" s="3"/>
      <x:c r="K7" s="3"/>
      <x:c r="L7" s="3"/>
      <x:c r="M7" s="3"/>
    </x:row>
    <x:row r="8" ht="42" customHeight="1">
      <x:c r="A8" s="3" t="str">
        <x:v>P03</x:v>
      </x:c>
      <x:c r="B8" s="3" t="str">
        <x:v>Giriş yüzdesi</x:v>
      </x:c>
      <x:c r="C8" s="3" t="str">
        <x:v>Enter_Percentage Int / %</x:v>
      </x:c>
      <x:c r="D8" s="3" t="str">
        <x:v>Eşleşiyor</x:v>
      </x:c>
      <x:c r="E8" s="3" t="str">
        <x:v>A03; max görülen taban duvarı×%/100</x:v>
      </x:c>
      <x:c r="F8" s="3" t="str">
        <x:v>GUI minPriceSettings; motor enterTriggerQty</x:v>
      </x:c>
      <x:c r="G8" s="3"/>
      <x:c r="H8" s="3"/>
      <x:c r="I8" s="3"/>
      <x:c r="J8" s="3"/>
      <x:c r="K8" s="3"/>
      <x:c r="L8" s="3"/>
      <x:c r="M8" s="3"/>
    </x:row>
    <x:row r="9" ht="42" customHeight="1">
      <x:c r="A9" s="3" t="str">
        <x:v>P04</x:v>
      </x:c>
      <x:c r="B9" s="3" t="str">
        <x:v>Alınca lotu değiştir</x:v>
      </x:c>
      <x:c r="C9" s="3" t="str">
        <x:v>Secondary_Enter_Lot Int / lot</x:v>
      </x:c>
      <x:c r="D9" s="3" t="str">
        <x:v>Eşleşiyor</x:v>
      </x:c>
      <x:c r="E9" s="3" t="str">
        <x:v>A07/A08; alış gönderiminde değişir, yüzde modunda kapalı</x:v>
      </x:c>
      <x:c r="F9" s="3" t="str">
        <x:v>GUI minPriceSettings; motor applySecondaryEnterLot</x:v>
      </x:c>
      <x:c r="G9" s="3"/>
      <x:c r="H9" s="3"/>
      <x:c r="I9" s="3"/>
      <x:c r="J9" s="3"/>
      <x:c r="K9" s="3"/>
      <x:c r="L9" s="3"/>
      <x:c r="M9" s="3"/>
    </x:row>
    <x:row r="10" ht="42" customHeight="1">
      <x:c r="A10" s="3" t="str">
        <x:v>P05</x:v>
      </x:c>
      <x:c r="B10" s="3" t="str">
        <x:v>Otomatik/manuel satış</x:v>
      </x:c>
      <x:c r="C10" s="3" t="str">
        <x:v>Is_Sell_Mode_Auto Bool</x:v>
      </x:c>
      <x:c r="D10" s="3" t="str">
        <x:v>Varsayılan farkı</x:v>
      </x:c>
      <x:c r="E10" s="3" t="str">
        <x:v>B04/R14; GUIfalse, eksik wire motortrue</x:v>
      </x:c>
      <x:c r="F10" s="3" t="str">
        <x:v>GUI createDefaultMinPriceSettings; motor MinPriceCommand</x:v>
      </x:c>
      <x:c r="G10" s="3"/>
      <x:c r="H10" s="3"/>
      <x:c r="I10" s="3"/>
      <x:c r="J10" s="3"/>
      <x:c r="K10" s="3"/>
      <x:c r="L10" s="3"/>
      <x:c r="M10" s="3"/>
    </x:row>
    <x:row r="11" ht="42" customHeight="1">
      <x:c r="A11" s="3" t="str">
        <x:v>P06</x:v>
      </x:c>
      <x:c r="B11" s="3" t="str">
        <x:v>Kâr alma kademe</x:v>
      </x:c>
      <x:c r="C11" s="3" t="str">
        <x:v>Sell_Level_Number Int / kademe</x:v>
      </x:c>
      <x:c r="D11" s="3" t="str">
        <x:v>Eşleşiyor</x:v>
      </x:c>
      <x:c r="E11" s="3" t="str">
        <x:v>B01; taban tick×N; R13 bant teyidi</x:v>
      </x:c>
      <x:c r="F11" s="3" t="str">
        <x:v>GUI encode; motor computeAutoSellPriceAboveTaban</x:v>
      </x:c>
      <x:c r="G11" s="3"/>
      <x:c r="H11" s="3"/>
      <x:c r="I11" s="3"/>
      <x:c r="J11" s="3"/>
      <x:c r="K11" s="3"/>
      <x:c r="L11" s="3"/>
      <x:c r="M11" s="3"/>
    </x:row>
    <x:row r="12" ht="42" customHeight="1">
      <x:c r="A12" s="3" t="str">
        <x:v>P07</x:v>
      </x:c>
      <x:c r="B12" s="3" t="str">
        <x:v>Kâr alma yüzde</x:v>
      </x:c>
      <x:c r="C12" s="3" t="str">
        <x:v>Sell_Percentage Int / %</x:v>
      </x:c>
      <x:c r="D12" s="3" t="str">
        <x:v>Eşleşiyor</x:v>
      </x:c>
      <x:c r="E12" s="3" t="str">
        <x:v>B02; yukarı tick yuvarlama; binde değil</x:v>
      </x:c>
      <x:c r="F12" s="3" t="str">
        <x:v>GUI encode; motor computeAutoSellPriceAboveTaban</x:v>
      </x:c>
      <x:c r="G12" s="3"/>
      <x:c r="H12" s="3"/>
      <x:c r="I12" s="3"/>
      <x:c r="J12" s="3"/>
      <x:c r="K12" s="3"/>
      <x:c r="L12" s="3"/>
      <x:c r="M12" s="3"/>
    </x:row>
    <x:row r="13" ht="42" customHeight="1">
      <x:c r="A13" s="3" t="str">
        <x:v>P08</x:v>
      </x:c>
      <x:c r="B13" s="3" t="str">
        <x:v>Kaçış lotu</x:v>
      </x:c>
      <x:c r="C13" s="3" t="str">
        <x:v>Escape_Lot Int / lot</x:v>
      </x:c>
      <x:c r="D13" s="3" t="str">
        <x:v>Eşleşiyor</x:v>
      </x:c>
      <x:c r="E13" s="3" t="str">
        <x:v>C05; baş lot≤eşik; hold uygulanır</x:v>
      </x:c>
      <x:c r="F13" s="3" t="str">
        <x:v>GUI encode; motor shouldEscapePosition</x:v>
      </x:c>
      <x:c r="G13" s="3"/>
      <x:c r="H13" s="3"/>
      <x:c r="I13" s="3"/>
      <x:c r="J13" s="3"/>
      <x:c r="K13" s="3"/>
      <x:c r="L13" s="3"/>
      <x:c r="M13" s="3"/>
    </x:row>
    <x:row r="14" ht="42" customHeight="1">
      <x:c r="A14" s="3" t="str">
        <x:v>P09</x:v>
      </x:c>
      <x:c r="B14" s="3" t="str">
        <x:v>Kaçış yüzdesi</x:v>
      </x:c>
      <x:c r="C14" s="3" t="str">
        <x:v>Escape_Lot_Percentage Int / %</x:v>
      </x:c>
      <x:c r="D14" s="3" t="str">
        <x:v>Eşleşiyor</x:v>
      </x:c>
      <x:c r="E14" s="3" t="str">
        <x:v>C06; Escape_Lot0 iken max duvar yüzdesi</x:v>
      </x:c>
      <x:c r="F14" s="3" t="str">
        <x:v>GUI minPricePayload; motor shouldEscapePosition</x:v>
      </x:c>
      <x:c r="G14" s="3"/>
      <x:c r="H14" s="3"/>
      <x:c r="I14" s="3"/>
      <x:c r="J14" s="3"/>
      <x:c r="K14" s="3"/>
      <x:c r="L14" s="3"/>
      <x:c r="M14" s="3"/>
    </x:row>
    <x:row r="15" ht="42" customHeight="1">
      <x:c r="A15" s="3" t="str">
        <x:v>P10</x:v>
      </x:c>
      <x:c r="B15" s="3" t="str">
        <x:v>Tüm alış kademeleri</x:v>
      </x:c>
      <x:c r="C15" s="3" t="str">
        <x:v>Consider_All_Buy_Levels Bool</x:v>
      </x:c>
      <x:c r="D15" s="3" t="str">
        <x:v>Sınır farkı</x:v>
      </x:c>
      <x:c r="E15" s="3" t="str">
        <x:v>C07/R10; toplam&lt;eşik; başın tabanda olması şart değil</x:v>
      </x:c>
      <x:c r="F15" s="3" t="str">
        <x:v>GUI encode; motor syncEscapeSubscription/shouldEscapePosition</x:v>
      </x:c>
      <x:c r="G15" s="3"/>
      <x:c r="H15" s="3"/>
      <x:c r="I15" s="3"/>
      <x:c r="J15" s="3"/>
      <x:c r="K15" s="3"/>
      <x:c r="L15" s="3"/>
      <x:c r="M15" s="3"/>
    </x:row>
    <x:row r="16" ht="42" customHeight="1">
      <x:c r="A16" s="3" t="str">
        <x:v>P11</x:v>
      </x:c>
      <x:c r="B16" s="3" t="str">
        <x:v>Maksimum alış takibi</x:v>
      </x:c>
      <x:c r="C16" s="3" t="str">
        <x:v>Min_Max_Size_Buy_Enter Bool; …_Percentage Int/%</x:v>
      </x:c>
      <x:c r="D16" s="3" t="str">
        <x:v>Eşleşiyor</x:v>
      </x:c>
      <x:c r="E16" s="3" t="str">
        <x:v>E04/E05; fiyat kapısı kalır; yüzde0 tamcap</x:v>
      </x:c>
      <x:c r="F16" s="3" t="str">
        <x:v>GUI encode; motor maxOrderQtyAtTaban</x:v>
      </x:c>
      <x:c r="G16" s="3"/>
      <x:c r="H16" s="3"/>
      <x:c r="I16" s="3"/>
      <x:c r="J16" s="3"/>
      <x:c r="K16" s="3"/>
      <x:c r="L16" s="3"/>
      <x:c r="M16" s="3"/>
    </x:row>
    <x:row r="17" ht="42" customHeight="1">
      <x:c r="A17" s="3" t="str">
        <x:v>P12</x:v>
      </x:c>
      <x:c r="B17" s="3" t="str">
        <x:v>Momentum penceresi</x:v>
      </x:c>
      <x:c r="C17" s="3" t="str">
        <x:v>Min_Max_Size_Buy_Enter_Delta Int / ns</x:v>
      </x:c>
      <x:c r="D17" s="3" t="str">
        <x:v>Eşleşiyor</x:v>
      </x:c>
      <x:c r="E17" s="3" t="str">
        <x:v>E05; ekranµs×1000; kapalıysa0</x:v>
      </x:c>
      <x:c r="F17" s="3" t="str">
        <x:v>GUI encode/decode; motor syncMaxSizeBuySubscription</x:v>
      </x:c>
      <x:c r="G17" s="3"/>
      <x:c r="H17" s="3"/>
      <x:c r="I17" s="3"/>
      <x:c r="J17" s="3"/>
      <x:c r="K17" s="3"/>
      <x:c r="L17" s="3"/>
      <x:c r="M17" s="3"/>
    </x:row>
    <x:row r="18" ht="42" customHeight="1">
      <x:c r="A18" s="3" t="str">
        <x:v>P13</x:v>
      </x:c>
      <x:c r="B18" s="3" t="str">
        <x:v>Emir büyüklüğü TL/lot</x:v>
      </x:c>
      <x:c r="C18" s="3" t="str">
        <x:v>Tl_Size Int / TL</x:v>
      </x:c>
      <x:c r="D18" s="3" t="str">
        <x:v>Risk</x:v>
      </x:c>
      <x:c r="E18" s="3" t="str">
        <x:v>A05/A06; GUI divider, motor sabit1000; R02/R03</x:v>
      </x:c>
      <x:c r="F18" s="3" t="str">
        <x:v>GUI toUnitPrice/calculateTlFromLot; motor openPosition</x:v>
      </x:c>
      <x:c r="G18" s="3"/>
      <x:c r="H18" s="3"/>
      <x:c r="I18" s="3"/>
      <x:c r="J18" s="3"/>
      <x:c r="K18" s="3"/>
      <x:c r="L18" s="3"/>
      <x:c r="M18" s="3"/>
    </x:row>
    <x:row r="19" ht="42" customHeight="1">
      <x:c r="A19" s="3" t="str">
        <x:v>P14</x:v>
      </x:c>
      <x:c r="B19" s="3" t="str">
        <x:v>Saniye kuralı</x:v>
      </x:c>
      <x:c r="C19" s="3" t="str">
        <x:v>Second_Rule_Duration Long / ms</x:v>
      </x:c>
      <x:c r="D19" s="3" t="str">
        <x:v>Eşleşiyor</x:v>
      </x:c>
      <x:c r="E19" s="3" t="str">
        <x:v>A04/D05; ekran sn×1000, yeniden taban kilitlenmesinden</x:v>
      </x:c>
      <x:c r="F19" s="3" t="str">
        <x:v>GUI encode; motor shouldEnterPosition/shouldTopUpPosition</x:v>
      </x:c>
      <x:c r="G19" s="3"/>
      <x:c r="H19" s="3"/>
      <x:c r="I19" s="3"/>
      <x:c r="J19" s="3"/>
      <x:c r="K19" s="3"/>
      <x:c r="L19" s="3"/>
      <x:c r="M19" s="3"/>
    </x:row>
    <x:row r="20" ht="42" customHeight="1">
      <x:c r="A20" s="3" t="str">
        <x:v>P15</x:v>
      </x:c>
      <x:c r="B20" s="3" t="str">
        <x:v>Tekrar kaçış süresi</x:v>
      </x:c>
      <x:c r="C20" s="3" t="str">
        <x:v>Re_Close_Duration Long / ms</x:v>
      </x:c>
      <x:c r="D20" s="3" t="str">
        <x:v>Eşleşiyor</x:v>
      </x:c>
      <x:c r="E20" s="3" t="str">
        <x:v>C02–C08; ekran sn×1000, giriş/re-breakten hold</x:v>
      </x:c>
      <x:c r="F20" s="3" t="str">
        <x:v>GUI encode; motor shouldEscapePosition/scheduleReCloseCheck</x:v>
      </x:c>
      <x:c r="G20" s="3"/>
      <x:c r="H20" s="3"/>
      <x:c r="I20" s="3"/>
      <x:c r="J20" s="3"/>
      <x:c r="K20" s="3"/>
      <x:c r="L20" s="3"/>
      <x:c r="M20" s="3"/>
    </x:row>
    <x:row r="21" ht="42" customHeight="1">
      <x:c r="A21" s="3" t="str">
        <x:v>P16</x:v>
      </x:c>
      <x:c r="B21" s="3" t="str">
        <x:v>Tolerans</x:v>
      </x:c>
      <x:c r="C21" s="3" t="str">
        <x:v>Tolerance Int / tur</x:v>
      </x:c>
      <x:c r="D21" s="3" t="str">
        <x:v>Açık aday</x:v>
      </x:c>
      <x:c r="E21" s="3" t="str">
        <x:v>R01; kapalıGUI0, sınırsızmotor−1</x:v>
      </x:c>
      <x:c r="F21" s="3" t="str">
        <x:v>GUI encodeMinPriceSettings; motor openPosition/onPositionFullyClosed</x:v>
      </x:c>
      <x:c r="G21" s="3"/>
      <x:c r="H21" s="3"/>
      <x:c r="I21" s="3"/>
      <x:c r="J21" s="3"/>
      <x:c r="K21" s="3"/>
      <x:c r="L21" s="3"/>
      <x:c r="M21" s="3"/>
    </x:row>
    <x:row r="22" ht="42" customHeight="1">
      <x:c r="A22" s="3" t="str">
        <x:v>P17</x:v>
      </x:c>
      <x:c r="B22" s="3" t="str">
        <x:v>Önce pozisyonu kapat</x:v>
      </x:c>
      <x:c r="C22" s="3" t="str">
        <x:v>Close_Position_First Bool</x:v>
      </x:c>
      <x:c r="D22" s="3" t="str">
        <x:v>Tekli alan</x:v>
      </x:c>
      <x:c r="E22" s="3" t="str">
        <x:v>O04/R20; topluda korunur; motor hemen restore ile açık durumu balance/satıştan kurar</x:v>
      </x:c>
      <x:c r="F22" s="3" t="str">
        <x:v>GUI bulk restricted fields; motor setCommand</x:v>
      </x:c>
      <x:c r="G22" s="3"/>
      <x:c r="H22" s="3"/>
      <x:c r="I22" s="3"/>
      <x:c r="J22" s="3"/>
      <x:c r="K22" s="3"/>
      <x:c r="L22" s="3"/>
      <x:c r="M22" s="3"/>
    </x:row>
    <x:row r="23" ht="42" customHeight="1">
      <x:c r="A23" s="3" t="str">
        <x:v>P18</x:v>
      </x:c>
      <x:c r="B23" s="3" t="str">
        <x:v>Satışla bitir</x:v>
      </x:c>
      <x:c r="C23" s="3" t="str">
        <x:v>Finish_With_Sell Bool</x:v>
      </x:c>
      <x:c r="D23" s="3" t="str">
        <x:v>GUI kapsam dışı</x:v>
      </x:c>
      <x:c r="E23" s="3" t="str">
        <x:v>R19; yeni GUI göndermiyor, varsayılanfalse</x:v>
      </x:c>
      <x:c r="F23" s="3" t="str">
        <x:v>minPricePayload; MinPriceCommand/onPositionFullyClosed</x:v>
      </x:c>
      <x:c r="G23" s="3"/>
      <x:c r="H23" s="3"/>
      <x:c r="I23" s="3"/>
      <x:c r="J23" s="3"/>
      <x:c r="K23" s="3"/>
      <x:c r="L23" s="3"/>
      <x:c r="M23" s="3"/>
    </x:row>
    <x:row r="24" ht="42" customHeight="1">
      <x:c r="A24" s="3" t="str">
        <x:v>P19</x:v>
      </x:c>
      <x:c r="B24" s="3" t="str">
        <x:v>Başlangıç saati</x:v>
      </x:c>
      <x:c r="C24" s="3" t="str">
        <x:v>Start_Time Long / günün saniyesi</x:v>
      </x:c>
      <x:c r="D24" s="3" t="str">
        <x:v>Eşleşiyor</x:v>
      </x:c>
      <x:c r="E24" s="3" t="str">
        <x:v>E06; default36000; strict sınır</x:v>
      </x:c>
      <x:c r="F24" s="3" t="str">
        <x:v>GUI payload; MinPriceCommand/processItchEventTimed</x:v>
      </x:c>
      <x:c r="G24" s="3"/>
      <x:c r="H24" s="3"/>
      <x:c r="I24" s="3"/>
      <x:c r="J24" s="3"/>
      <x:c r="K24" s="3"/>
      <x:c r="L24" s="3"/>
      <x:c r="M24" s="3"/>
    </x:row>
    <x:row r="25" ht="42" customHeight="1">
      <x:c r="A25" s="3" t="str">
        <x:v>P20</x:v>
      </x:c>
      <x:c r="B25" s="3" t="str">
        <x:v>Bitiş saati</x:v>
      </x:c>
      <x:c r="C25" s="3" t="str">
        <x:v>End_Time Long; geri dönüş Stop_Time Int</x:v>
      </x:c>
      <x:c r="D25" s="3" t="str">
        <x:v>Eşleşiyor</x:v>
      </x:c>
      <x:c r="E25" s="3" t="str">
        <x:v>E06; default64800; yeniden açma ve kayıtta alias kontrol</x:v>
      </x:c>
      <x:c r="F25" s="3" t="str">
        <x:v>GUI readMinPriceStopTime/payload; MinPriceCommand::toClientMessage</x:v>
      </x:c>
      <x:c r="G25" s="3"/>
      <x:c r="H25" s="3"/>
      <x:c r="I25" s="3"/>
      <x:c r="J25" s="3"/>
      <x:c r="K25" s="3"/>
      <x:c r="L25" s="3"/>
      <x:c r="M25" s="3"/>
    </x:row>
    <x:row r="26" ht="42" customHeight="1">
      <x:c r="A26" s="3" t="str">
        <x:v>P21</x:v>
      </x:c>
      <x:c r="B26" s="3" t="str">
        <x:v>Başlat/durdur</x:v>
      </x:c>
      <x:c r="C26" s="3" t="str">
        <x:v>Strategy_Start Bool; Is_Running canlı state</x:v>
      </x:c>
      <x:c r="D26" s="3" t="str">
        <x:v>Eşleşiyor</x:v>
      </x:c>
      <x:c r="E26" s="3" t="str">
        <x:v>U02/U03; canlı durum öncelikli, snapshot şart</x:v>
      </x:c>
      <x:c r="F26" s="3" t="str">
        <x:v>GUI resolveStrategyStart/MinPriceTrackerForm; motor setCommand/stop</x:v>
      </x:c>
      <x:c r="G26" s="3"/>
      <x:c r="H26" s="3"/>
      <x:c r="I26" s="3"/>
      <x:c r="J26" s="3"/>
      <x:c r="K26" s="3"/>
      <x:c r="L26" s="3"/>
      <x:c r="M26" s="3"/>
    </x:row>
    <x:row r="27" ht="42" customHeight="1">
      <x:c r="A27" s="3" t="str">
        <x:v>P22</x:v>
      </x:c>
      <x:c r="B27" s="3" t="str">
        <x:v>Canlı durum</x:v>
      </x:c>
      <x:c r="C27" s="3" t="str">
        <x:v>State; Tolerance_Counter; pozisyon/pasif emir/PTRM alanları</x:v>
      </x:c>
      <x:c r="D27" s="3" t="str">
        <x:v>Ortam teyidi</x:v>
      </x:c>
      <x:c r="E27" s="3" t="str">
        <x:v>U06/O01; panel rengi tek başına kanıt değil</x:v>
      </x:c>
      <x:c r="F27" s="3" t="str">
        <x:v>motor sendMinPriceStateUpdate; GUI MinPriceTrackerCells</x:v>
      </x:c>
      <x:c r="G27" s="3"/>
      <x:c r="H27" s="3"/>
      <x:c r="I27" s="3"/>
      <x:c r="J27" s="3"/>
      <x:c r="K27" s="3"/>
      <x:c r="L27" s="3"/>
      <x:c r="M27" s="3"/>
    </x:row>
    <x:row r="28" ht="42" customHeight="1">
      <x:c r="A28" s="3" t="str">
        <x:v>P23</x:v>
      </x:c>
      <x:c r="B28" s="3" t="str">
        <x:v>Taban Lotu</x:v>
      </x:c>
      <x:c r="C28" s="3" t="str">
        <x:v>Feed bounds.minBidLot</x:v>
      </x:c>
      <x:c r="D28" s="3" t="str">
        <x:v>Ürün teyidi</x:v>
      </x:c>
      <x:c r="E28" s="3" t="str">
        <x:v>U06/R17; eski maxAskLot ile fark K-164</x:v>
      </x:c>
      <x:c r="F28" s="3" t="str">
        <x:v>GUI MinPriceTrackerCells; KB taban.md</x:v>
      </x:c>
      <x:c r="G28" s="3"/>
      <x:c r="H28" s="3"/>
      <x:c r="I28" s="3"/>
      <x:c r="J28" s="3"/>
      <x:c r="K28" s="3"/>
      <x:c r="L28" s="3"/>
      <x:c r="M28" s="3"/>
    </x:row>
    <x:row r="29" ht="42" customHeight="1">
      <x:c r="A29" s="3" t="str">
        <x:v>P24</x:v>
      </x:c>
      <x:c r="B29" s="3" t="str">
        <x:v>Eski tekrar kaçış eşiği</x:v>
      </x:c>
      <x:c r="C29" s="3" t="str">
        <x:v>Re_Close_Lot / Re_Close_Percentage</x:v>
      </x:c>
      <x:c r="D29" s="3" t="str">
        <x:v>Development kapsam dışı</x:v>
      </x:c>
      <x:c r="E29" s="3" t="str">
        <x:v>R19; development giriş kriterini paylaşır; master farkı</x:v>
      </x:c>
      <x:c r="F29" s="3" t="str">
        <x:v>motor enterTriggerQty/shouldEscapePosition</x:v>
      </x:c>
      <x:c r="G29" s="3"/>
      <x:c r="H29" s="3"/>
      <x:c r="I29" s="3"/>
      <x:c r="J29" s="3"/>
      <x:c r="K29" s="3"/>
      <x:c r="L29" s="3"/>
      <x:c r="M29" s="3"/>
    </x:row>
    <x:row r="30" ht="42" customHeight="1">
      <x:c r="A30" s="3" t="str">
        <x:v>P25</x:v>
      </x:c>
      <x:c r="B30" s="3" t="str">
        <x:v>Tiering</x:v>
      </x:c>
      <x:c r="C30" s="3" t="str">
        <x:v>hotWorkerCount; promote/demote/cooldown config</x:v>
      </x:c>
      <x:c r="D30" s="3" t="str">
        <x:v>Ortam teyidi</x:v>
      </x:c>
      <x:c r="E30" s="3" t="str">
        <x:v>O03; GUI ayarı değil, config kaydı gerekir</x:v>
      </x:c>
      <x:c r="F30" s="3" t="str">
        <x:v>motor setupTieringSubscription/onPriceThresholdCrossing</x:v>
      </x:c>
      <x:c r="G30" s="3"/>
      <x:c r="H30" s="3"/>
      <x:c r="I30" s="3"/>
      <x:c r="J30" s="3"/>
      <x:c r="K30" s="3"/>
      <x:c r="L30" s="3"/>
      <x:c r="M30" s="3"/>
    </x:row>
    <x:row r="31" ht="42" customHeight="1">
      <x:c r="A31" s="3" t="str">
        <x:v>P26</x:v>
      </x:c>
      <x:c r="B31" s="3" t="str">
        <x:v>Kabul ve bakiye kapıları</x:v>
      </x:c>
      <x:c r="C31" s="3" t="str">
        <x:v>orderCompletelyAccepted; buyDepth; balance</x:v>
      </x:c>
      <x:c r="D31" s="3" t="str">
        <x:v>İç durum</x:v>
      </x:c>
      <x:c r="E31" s="3" t="str">
        <x:v>B03/B05/R06/R08; kullanıcı parametresi değil</x:v>
      </x:c>
      <x:c r="F31" s="3" t="str">
        <x:v>motor maybePlaceAggregateAutoSell/closePosition</x:v>
      </x:c>
      <x:c r="G31" s="3"/>
      <x:c r="H31" s="3"/>
      <x:c r="I31" s="3"/>
      <x:c r="J31" s="3"/>
      <x:c r="K31" s="3"/>
      <x:c r="L31" s="3"/>
      <x:c r="M31" s="3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c1556644026452e"/>
  </x:tableParts>
</x:worksheet>
</file>

<file path=xl/worksheets/sheet5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15" hidden="0" customWidth="1"/>
    <x:col min="4" max="4" width="24" hidden="0" customWidth="1"/>
    <x:col min="5" max="5" width="46" hidden="0" customWidth="1"/>
    <x:col min="6" max="6" width="57" hidden="0" customWidth="1"/>
    <x:col min="7" max="7" width="57" hidden="0" customWidth="1"/>
    <x:col min="8" max="8" width="40" hidden="0" customWidth="1"/>
    <x:col min="9" max="9" width="34" hidden="0" customWidth="1"/>
    <x:col min="10" max="10" width="15" hidden="0" customWidth="1"/>
    <x:col min="11" max="11" width="13" hidden="0" customWidth="1"/>
    <x:col min="12" max="12" width="53" hidden="0" customWidth="1"/>
    <x:col min="13" max="13" width="24" hidden="0" customWidth="1"/>
  </x:cols>
  <x:sheetData>
    <x:row r="1" ht="25" customHeight="1">
      <x:c r="A1" s="14" t="str">
        <x:v>Sonuç</x:v>
      </x:c>
      <x:c r="B1" s="14" t="str">
        <x:v>Ortam</x:v>
      </x:c>
      <x:c r="C1" s="14" t="str">
        <x:v>Öncelik</x:v>
      </x:c>
      <x:c r="D1" s="14" t="str">
        <x:v>Durum</x:v>
      </x:c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 t="str">
        <x:v>Test Edilmedi</x:v>
      </x:c>
      <x:c r="B2" s="3" t="str">
        <x:v>Test</x:v>
      </x:c>
      <x:c r="C2" s="3" t="str">
        <x:v>Yüksek</x:v>
      </x:c>
      <x:c r="D2" s="3" t="str">
        <x:v>AÇIK</x:v>
      </x:c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3" t="str">
        <x:v>Test Ediliyor</x:v>
      </x:c>
      <x:c r="B3" s="3" t="str">
        <x:v>Replay/Harness</x:v>
      </x:c>
      <x:c r="C3" s="3" t="str">
        <x:v>Orta</x:v>
      </x:c>
      <x:c r="D3" s="3" t="str">
        <x:v>RİSK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 t="str">
        <x:v>Başarılı</x:v>
      </x:c>
      <x:c r="B4" s="3" t="str">
        <x:v>Preprod</x:v>
      </x:c>
      <x:c r="C4" s="3" t="str">
        <x:v>Az</x:v>
      </x:c>
      <x:c r="D4" s="3" t="str">
        <x:v>TEYİT BEKLİYOR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 t="str">
        <x:v>Başarısız</x:v>
      </x:c>
      <x:c r="B5" s="3" t="str">
        <x:v>Prod</x:v>
      </x:c>
      <x:c r="C5" s="3" t="str"/>
      <x:c r="D5" s="3" t="str">
        <x:v>ÜRÜN KARARI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3" t="str">
        <x:v>Bloke</x:v>
      </x:c>
      <x:c r="B6" s="3" t="str"/>
      <x:c r="C6" s="3" t="str"/>
      <x:c r="D6" s="3" t="str">
        <x:v>REGRESYON</x:v>
      </x:c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3" t="str">
        <x:v>Kısmen</x:v>
      </x:c>
      <x:c r="B7" s="3" t="str"/>
      <x:c r="C7" s="3" t="str"/>
      <x:c r="D7" s="3" t="str">
        <x:v>KAPSAM DIŞI</x:v>
      </x:c>
      <x:c r="E7" s="3"/>
      <x:c r="F7" s="3"/>
      <x:c r="G7" s="3"/>
      <x:c r="H7" s="3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</x:sheetData>
  <x:pageMargins left="0.7" right="0.7" top="0.75" bottom="0.75" header="0.3" footer="0.3"/>
</x:worksheet>
</file>