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986318086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l" sheetId="1" r:id="R9f0963654ebf4f29"/>
    <x:sheet xmlns:r="http://schemas.openxmlformats.org/officeDocument/2006/relationships" name="Tavan Senaryoları" sheetId="2" r:id="R2d32de6e3f234cd5"/>
    <x:sheet xmlns:r="http://schemas.openxmlformats.org/officeDocument/2006/relationships" name="Regresyon" sheetId="3" r:id="Rcb5e7afb5ba34242"/>
    <x:sheet xmlns:r="http://schemas.openxmlformats.org/officeDocument/2006/relationships" name="Parametre Eşleştirme" sheetId="4" r:id="R2107010a5ac64965"/>
    <x:sheet xmlns:r="http://schemas.openxmlformats.org/officeDocument/2006/relationships" name="Listeler" sheetId="5" r:id="R9572413f8a3d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.0"/>
    <x:numFmt numFmtId="202" formatCode="0"/>
  </x:numFmts>
  <x:fonts count="5">
    <x:font>
      <x:sz val="11"/>
      <x:name val="Carlito"/>
    </x:font>
    <x:font>
      <x:sz val="11"/>
      <x:color rgb="FF202020"/>
      <x:name val="Calibri"/>
    </x:font>
    <x:font>
      <x:b/>
      <x:sz val="11"/>
      <x:color rgb="FF202020"/>
      <x:name val="Calibri"/>
    </x:font>
    <x:font>
      <x:b/>
      <x:sz val="11"/>
      <x:color rgb="FFFFFFFF"/>
      <x:name val="Calibri"/>
    </x:font>
    <x:font>
      <x:b/>
      <x:sz val="14"/>
      <x:color rgb="FF20202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92D050"/>
      </x:patternFill>
    </x:fill>
    <x:fill>
      <x:patternFill patternType="solid">
        <x:fgColor rgb="FF315C83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2" fontId="2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cdf7be7a24a09" /><Relationship Type="http://schemas.openxmlformats.org/officeDocument/2006/relationships/theme" Target="/xl/theme/theme1.xml" Id="R7bcb72aee2d14b7b" /><Relationship Type="http://schemas.openxmlformats.org/officeDocument/2006/relationships/sharedStrings" Target="/xl/sharedStrings.xml" Id="R239031fe0fb540ed" /><Relationship Type="http://schemas.openxmlformats.org/officeDocument/2006/relationships/worksheet" Target="/xl/worksheets/sheet1.xml" Id="R9f0963654ebf4f29" /><Relationship Type="http://schemas.openxmlformats.org/officeDocument/2006/relationships/worksheet" Target="/xl/worksheets/sheet2.xml" Id="R2d32de6e3f234cd5" /><Relationship Type="http://schemas.openxmlformats.org/officeDocument/2006/relationships/worksheet" Target="/xl/worksheets/sheet3.xml" Id="Rcb5e7afb5ba34242" /><Relationship Type="http://schemas.openxmlformats.org/officeDocument/2006/relationships/worksheet" Target="/xl/worksheets/sheet4.xml" Id="R2107010a5ac64965" /><Relationship Type="http://schemas.openxmlformats.org/officeDocument/2006/relationships/worksheet" Target="/xl/worksheets/sheet5.xml" Id="R9572413f8a3d4fcd" /></Relationships>
</file>

<file path=xl/tables/table1.xml><?xml version="1.0" encoding="utf-8"?>
<x:table xmlns:x="http://schemas.openxmlformats.org/spreadsheetml/2006/main" id="1" name="Tavan_0" displayName="Tavan_0" ref="A19:M27" headerRowCount="1" totalsRowCount="0" totalsRowShown="0">
  <x:tableColumns count="13">
    <x:tableColumn id="1" name="Test ID"/>
    <x:tableColumn id="2" name="Sonuç"/>
    <x:tableColumn id="3" name="Modül"/>
    <x:tableColumn id="4" name="Test Senaryosu"/>
    <x:tableColumn id="5" name="Ön Koşullar"/>
    <x:tableColumn id="6" name="Test Adımları"/>
    <x:tableColumn id="7" name="Beklenen Sonuç"/>
    <x:tableColumn id="8" name="Gerçekleşen Sonuç"/>
    <x:tableColumn id="9" name="Kanıt / Log Anahtarı"/>
    <x:tableColumn id="10" name="Ortam"/>
    <x:tableColumn id="11" name="Öncelik"/>
    <x:tableColumn id="12" name="Not / Doğrulama"/>
    <x:tableColumn id="13" name="Ekler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van_1" displayName="Tavan_1" ref="A18:M78" headerRowCount="1" totalsRowCount="0" totalsRowShown="0">
  <x:tableColumns count="13">
    <x:tableColumn id="1" name="Test ID"/>
    <x:tableColumn id="2" name="Sonuç"/>
    <x:tableColumn id="3" name="Modül"/>
    <x:tableColumn id="4" name="Test Senaryosu"/>
    <x:tableColumn id="5" name="Ön Koşullar"/>
    <x:tableColumn id="6" name="Test Adımları"/>
    <x:tableColumn id="7" name="Beklenen Sonuç"/>
    <x:tableColumn id="8" name="Gerçekleşen Sonuç"/>
    <x:tableColumn id="9" name="Kanıt / Log Anahtarı"/>
    <x:tableColumn id="10" name="Ortam"/>
    <x:tableColumn id="11" name="Öncelik"/>
    <x:tableColumn id="12" name="Not / Doğrulama"/>
    <x:tableColumn id="13" name="Ekler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van_2" displayName="Tavan_2" ref="A10:M30" headerRowCount="1" totalsRowCount="0" totalsRowShown="0">
  <x:tableColumns count="13">
    <x:tableColumn id="1" name="Test ID"/>
    <x:tableColumn id="2" name="Sonuç"/>
    <x:tableColumn id="3" name="Durum"/>
    <x:tableColumn id="4" name="Başlık"/>
    <x:tableColumn id="5" name="Kaynak Bulgusu / Gerekçe"/>
    <x:tableColumn id="6" name="Test Adımları"/>
    <x:tableColumn id="7" name="Beklenen Sonuç"/>
    <x:tableColumn id="8" name="Gerçekleşen Sonuç"/>
    <x:tableColumn id="9" name="Kanıt / Log Anahtarı"/>
    <x:tableColumn id="10" name="Ortam"/>
    <x:tableColumn id="11" name="Öncelik"/>
    <x:tableColumn id="12" name="Not / Doğrulama"/>
    <x:tableColumn id="13" name="Ekler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van_Parameters" displayName="Tavan_Parameters" ref="A5:F41" headerRowCount="1" totalsRowCount="0" totalsRowShown="0">
  <x:tableColumns count="6">
    <x:tableColumn id="1" name="Ref"/>
    <x:tableColumn id="2" name="Arayüz Etiketi"/>
    <x:tableColumn id="3" name="Motor Parametresi / Birim"/>
    <x:tableColumn id="4" name="Durum"/>
    <x:tableColumn id="5" name="Not / Test Bağı"/>
    <x:tableColumn id="6" name="Kaynak Sembolü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611f8994ca4c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e7d32595dc48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14f552ab6b49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1a8226869f54e1d" /></Relationships>
</file>

<file path=xl/worksheets/sheet1.xml><?xml version="1.0" encoding="utf-8"?>
<x:worksheet xmlns:x="http://schemas.openxmlformats.org/spreadsheetml/2006/main">
  <x:sheetPr>
    <x:tabColor rgb="FF92D050"/>
  </x:sheetPr>
  <x:sheetViews>
    <x:sheetView showGridLines="0" workbookViewId="0">
      <x:pane ySplit="19" topLeftCell="A20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34" hidden="0" customWidth="1"/>
    <x:col min="5" max="5" width="46" hidden="0" customWidth="1"/>
    <x:col min="6" max="6" width="57" hidden="0" customWidth="1"/>
    <x:col min="7" max="7" width="57" hidden="0" customWidth="1"/>
    <x:col min="8" max="8" width="40" hidden="0" customWidth="1"/>
    <x:col min="9" max="9" width="34" hidden="0" customWidth="1"/>
    <x:col min="10" max="10" width="15" hidden="0" customWidth="1"/>
    <x:col min="11" max="11" width="13" hidden="0" customWidth="1"/>
    <x:col min="12" max="12" width="53" hidden="0" customWidth="1"/>
    <x:col min="13" max="13" width="24" hidden="0" customWidth="1"/>
  </x:cols>
  <x:sheetData>
    <x:row r="1">
      <x:c r="A1" s="3"/>
      <x:c r="B1" s="3"/>
      <x:c r="C1" s="6" t="str">
        <x:v>Proje Adı:</x:v>
      </x:c>
      <x:c r="D1" s="7" t="str">
        <x:v>MTrader</x:v>
      </x:c>
      <x:c r="E1" s="6" t="str">
        <x:v>Testi Hazırlayan:</x:v>
      </x:c>
      <x:c r="F1" s="7" t="str"/>
      <x:c r="G1" s="12" t="str">
        <x:v>ÖZET</x:v>
      </x:c>
      <x:c r="H1" s="12"/>
      <x:c r="I1" s="12" t="str">
        <x:v>SONUÇ DAĞILIMI</x:v>
      </x:c>
      <x:c r="J1" s="12"/>
      <x:c r="K1" s="12"/>
      <x:c r="L1" s="12"/>
      <x:c r="M1" s="3"/>
    </x:row>
    <x:row r="2">
      <x:c r="A2" s="3"/>
      <x:c r="B2" s="3"/>
      <x:c r="C2" s="6" t="str">
        <x:v>Modül Adı:</x:v>
      </x:c>
      <x:c r="D2" s="7" t="str">
        <x:v>Tavan (MaxPrice / 9)</x:v>
      </x:c>
      <x:c r="E2" s="6" t="str">
        <x:v>Hazırlama Tarihi:</x:v>
      </x:c>
      <x:c r="F2" s="9" t="n">
        <x:v>46321</x:v>
      </x:c>
      <x:c r="G2" s="3" t="str">
        <x:v>Toplam</x:v>
      </x:c>
      <x:c r="H2" s="14" t="n">
        <x:f>COUNTA(A20:A27)</x:f>
        <x:v>8</x:v>
      </x:c>
      <x:c r="I2" s="3" t="str">
        <x:v>Test Edilmedi</x:v>
      </x:c>
      <x:c r="J2" s="14" t="n">
        <x:f>COUNTIF(B20:B27,"Test Edilmedi")</x:f>
        <x:v>8</x:v>
      </x:c>
      <x:c r="K2" s="3" t="str">
        <x:v>Bloke</x:v>
      </x:c>
      <x:c r="L2" s="14" t="n">
        <x:f>COUNTIF(B20:B27,"Bloke")</x:f>
        <x:v>0</x:v>
      </x:c>
      <x:c r="M2" s="3"/>
    </x:row>
    <x:row r="3">
      <x:c r="A3" s="3"/>
      <x:c r="B3" s="3"/>
      <x:c r="C3" s="6" t="str">
        <x:v>Bölüm:</x:v>
      </x:c>
      <x:c r="D3" s="7" t="str">
        <x:v>Ön Koşul ve Ortak</x:v>
      </x:c>
      <x:c r="E3" s="6" t="str">
        <x:v>Testi Yapan:</x:v>
      </x:c>
      <x:c r="F3" s="7" t="str"/>
      <x:c r="G3" s="3" t="str">
        <x:v>Başarılı</x:v>
      </x:c>
      <x:c r="H3" s="14" t="n">
        <x:f>COUNTIF(B20:B27,"Başarılı")</x:f>
        <x:v>0</x:v>
      </x:c>
      <x:c r="I3" s="3" t="str">
        <x:v>Test Ediliyor</x:v>
      </x:c>
      <x:c r="J3" s="14" t="n">
        <x:f>COUNTIF(B20:B27,"Test Ediliyor")</x:f>
        <x:v>0</x:v>
      </x:c>
      <x:c r="K3" s="3" t="str">
        <x:v>Boş</x:v>
      </x:c>
      <x:c r="L3" s="14" t="n">
        <x:f>COUNTBLANK(B20:B27)</x:f>
        <x:v>0</x:v>
      </x:c>
      <x:c r="M3" s="3"/>
    </x:row>
    <x:row r="4">
      <x:c r="A4" s="3"/>
      <x:c r="B4" s="3"/>
      <x:c r="C4" s="6" t="str">
        <x:v>Dosya Sürümü:</x:v>
      </x:c>
      <x:c r="D4" s="8" t="n">
        <x:v>1</x:v>
      </x:c>
      <x:c r="E4" s="6" t="str">
        <x:v>Test Tarihi:</x:v>
      </x:c>
      <x:c r="F4" s="9" t="str"/>
      <x:c r="G4" s="3" t="str">
        <x:v>Başarısız</x:v>
      </x:c>
      <x:c r="H4" s="14" t="n">
        <x:f>COUNTIF(B20:B27,"Başarısız")</x:f>
        <x:v>0</x:v>
      </x:c>
      <x:c r="I4" s="3" t="str">
        <x:v>Kısmen</x:v>
      </x:c>
      <x:c r="J4" s="14" t="n">
        <x:f>COUNTIF(B20:B27,"Kısmen")</x:f>
        <x:v>0</x:v>
      </x:c>
      <x:c r="K4" s="3"/>
      <x:c r="L4" s="3"/>
      <x:c r="M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36" customHeight="1">
      <x:c r="A6" s="7" t="str">
        <x:v>Önce Genel sayfasındaki G01–G08 tamamlanır. RA referansı sentetik örnektir; gerçek enstrüman, hesap ve değerler her koşuda kaydedilir. Giriş/çıkış koşulları izole test veya kontrollü replay ortamında oluşturulur.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</x:row>
    <x:row r="7" ht="36" customHeight="1">
      <x:c r="A7" s="7" t="str">
        <x:v>Her satırda H: gerçekleşen gözlem; I: tarih-saat, GUI/motor sürümü, config, uniqueKey, token/father-ref ve log yolu; M: ekran/kanıt bağlantısı. Bilinmeyen alanlar doldurulmaz. Kısmen yalnız koşulan adımlar açıkça yazıldığında seçilir.</x:v>
      </x:c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</x:row>
    <x:row r="8" ht="36" customHeight="1">
      <x:c r="A8" s="7" t="str">
        <x:v>26.10.2026 kaynak incelemesi: HftSrvProd development 4275ccc (master052dd96); yeni GUI development b0474c3; SDK c2b5060; order-service26e9a02. Fetch yapıldı. Çalışan binary/config ve test tarihi ayrıca kaydedilir. Statik bulgu başarılı/başarısız manuel test değildir.</x:v>
      </x:c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>
      <x:c r="A10" s="16" t="str">
        <x:v>TEST EDENİN BİLMESİ GEREKENLER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42" customHeight="1">
      <x:c r="A11" s="17" t="str">
        <x:v>RA: sentetik test/replay verisi. Tavan 20,00 TL (raw 20000, divider 1000), Tl_Size 200 TL → 10 lot; giriş lot 100, iptal lot 200; tolerans açık=3; saniye kuralı 1 sn; tekrar giriş 0 sn; escape/momentum/süpür kapalı; tek fiyat DAY; pozisyon/emir 0. Çalışma saati içinde, snapshot hazır. Gerçek enstrüman değerleri G08 ile kaydedilir.</x:v>
      </x:c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</x:row>
    <x:row r="12" ht="30" customHeight="1">
      <x:c r="A12" s="18" t="str">
        <x:v>Kaynak: tavan-inceleme-2026-10-26.md. P01–P36 parametre eşleştirmesini ve ilgili R kaydını önce okuyun. Aktif kaynak adayları tavan-toplu-issue.md içinde; yeni test kanıtı değildir.</x:v>
      </x:c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 ht="30" customHeight="1">
      <x:c r="A13" s="18" t="str">
        <x:v>A: giriş • B: çıkış • C: geri giriş/restore • D: tolerans • E: süpürme/momentum • F: escape/tiering • U: arayüz • O: operasyon. Her senaryo başlangıç koşuluna ayrı döndürülür.</x:v>
      </x:c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 ht="30" customHeight="1">
      <x:c r="A14" s="18" t="str">
        <x:v>RA toleransı özellikle açık ve3 seçilmiştir. Tolerans kapalı0 → motorun−1 sözleşmesi R01; default saat600/1200 R02. Bu engelleri atlayıp testi Başarılı işaretlemeyin.</x:v>
      </x:c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 ht="30" customHeight="1">
      <x:c r="A15" s="18" t="str">
        <x:v>Birimler: saniye kuralı sn→ms; tekrar giriş sn→100ms; momentum µs→ns; kaçış yüzde×10; olağan dışı yüzde×100. Borsa fiyatı raw/TL/divider birlikte kaydedilir.</x:v>
      </x:c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 ht="30" customHeight="1">
      <x:c r="A16" s="18" t="str">
        <x:v>Stop yeni kararları durdurur; bekleyen emir iptali ve pozisyon kapatma ayrı işlemlerdir. Test sonu O05 uygulanır. Zamanlama/ret/bozuk veri testleri canlı müşteri hesabında koşulmaz.</x:v>
      </x:c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 ht="30" customHeight="1">
      <x:c r="A17" s="18" t="str">
        <x:v>Başarılı: tüm adımlar ve kanıt tamam. Başarısız: doğrulanmış beklenti sapması. Bloke: ortam/ön koşul eksik. Test Ediliyor: sürüyor. Kısmen: koşulan ve kalan adımlar açık. Test Edilmedi: koşulmadı.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 ht="32" customHeight="1">
      <x:c r="A19" s="20" t="str">
        <x:v>Test ID</x:v>
      </x:c>
      <x:c r="B19" s="20" t="str">
        <x:v>Sonuç</x:v>
      </x:c>
      <x:c r="C19" s="20" t="str">
        <x:v>Modül</x:v>
      </x:c>
      <x:c r="D19" s="20" t="str">
        <x:v>Test Senaryosu</x:v>
      </x:c>
      <x:c r="E19" s="20" t="str">
        <x:v>Ön Koşullar</x:v>
      </x:c>
      <x:c r="F19" s="20" t="str">
        <x:v>Test Adımları</x:v>
      </x:c>
      <x:c r="G19" s="20" t="str">
        <x:v>Beklenen Sonuç</x:v>
      </x:c>
      <x:c r="H19" s="20" t="str">
        <x:v>Gerçekleşen Sonuç</x:v>
      </x:c>
      <x:c r="I19" s="20" t="str">
        <x:v>Kanıt / Log Anahtarı</x:v>
      </x:c>
      <x:c r="J19" s="20" t="str">
        <x:v>Ortam</x:v>
      </x:c>
      <x:c r="K19" s="20" t="str">
        <x:v>Öncelik</x:v>
      </x:c>
      <x:c r="L19" s="20" t="str">
        <x:v>Not / Doğrulama</x:v>
      </x:c>
      <x:c r="M19" s="20" t="str">
        <x:v>Ekler</x:v>
      </x:c>
    </x:row>
    <x:row r="20" ht="42" customHeight="1">
      <x:c r="A20" s="3" t="str">
        <x:v>TC-TVN-G01</x:v>
      </x:c>
      <x:c r="B20" s="7" t="str">
        <x:v>Test Edilmedi</x:v>
      </x:c>
      <x:c r="C20" s="3" t="str">
        <x:v>Ön koşul</x:v>
      </x:c>
      <x:c r="D20" s="3" t="str">
        <x:v>Sürüm ve ortam kaydı</x:v>
      </x:c>
      <x:c r="E20" s="3" t="str">
        <x:v>İzole test hesabı ve test/replay ortamı.</x:v>
      </x:c>
      <x:c r="F20" s="3" t="str">
        <x:v>GUI/motor/SDK/order-service commitlerini, config sürümünü, hesabı ve test zamanını kaydet.</x:v>
      </x:c>
      <x:c r="G20" s="3" t="str">
        <x:v>Development kaynakları ile çalışan binary ayrılır; bilinmeyen sürüm Bloke gerekçesi olur.</x:v>
      </x:c>
      <x:c r="H20" s="7" t="str"/>
      <x:c r="I20" s="7" t="str"/>
      <x:c r="J20" s="7" t="str">
        <x:v>Test</x:v>
      </x:c>
      <x:c r="K20" s="3" t="str">
        <x:v>Yüksek</x:v>
      </x:c>
      <x:c r="L20" s="3" t="str"/>
      <x:c r="M20" s="7" t="str"/>
    </x:row>
    <x:row r="21" ht="54" customHeight="1">
      <x:c r="A21" s="3" t="str">
        <x:v>TC-TVN-G02</x:v>
      </x:c>
      <x:c r="B21" s="7" t="str">
        <x:v>Test Edilmedi</x:v>
      </x:c>
      <x:c r="C21" s="3" t="str">
        <x:v>Ön koşul</x:v>
      </x:c>
      <x:c r="D21" s="3" t="str">
        <x:v>Piyasa verisi ve ilk snapshot</x:v>
      </x:c>
      <x:c r="E21" s="3" t="str">
        <x:v>İzole test hesabı ve test/replay ortamı.</x:v>
      </x:c>
      <x:c r="F21" s="3" t="str">
        <x:v>Tavan panelini aç; tavan fiyatını, alış/satış fiyat-lotlarını referans feed ile karşılaştır; Glimpse/snapshot tamamlanmasını kontrol et.</x:v>
      </x:c>
      <x:c r="G21" s="3" t="str">
        <x:v>Tavan fiyatı, tick ve ölçek bilinir; eksik snapshot ile giriş testi başlatılmaz.</x:v>
      </x:c>
      <x:c r="H21" s="7" t="str"/>
      <x:c r="I21" s="7" t="str"/>
      <x:c r="J21" s="7" t="str">
        <x:v>Test</x:v>
      </x:c>
      <x:c r="K21" s="3" t="str">
        <x:v>Yüksek</x:v>
      </x:c>
      <x:c r="L21" s="3" t="str"/>
      <x:c r="M21" s="7" t="str"/>
    </x:row>
    <x:row r="22" ht="42" customHeight="1">
      <x:c r="A22" s="3" t="str">
        <x:v>TC-TVN-G03</x:v>
      </x:c>
      <x:c r="B22" s="7" t="str">
        <x:v>Test Edilmedi</x:v>
      </x:c>
      <x:c r="C22" s="3" t="str">
        <x:v>Ön koşul</x:v>
      </x:c>
      <x:c r="D22" s="3" t="str">
        <x:v>Emir yolu ve hesap yetkisi</x:v>
      </x:c>
      <x:c r="E22" s="3" t="str">
        <x:v>İzole test hesabı ve test/replay ortamı.</x:v>
      </x:c>
      <x:c r="F22" s="3" t="str">
        <x:v>Test hesabının Tavan yetkisini ve OUCH/handoff durumunu kontrol et; SDK/yedek yolu logdan ayır.</x:v>
      </x:c>
      <x:c r="G22" s="3" t="str">
        <x:v>Emrin hangi servis üzerinden gittiği ve ret/kabul kaydı izlenebilir.</x:v>
      </x:c>
      <x:c r="H22" s="7" t="str"/>
      <x:c r="I22" s="7" t="str"/>
      <x:c r="J22" s="7" t="str">
        <x:v>Test</x:v>
      </x:c>
      <x:c r="K22" s="3" t="str">
        <x:v>Yüksek</x:v>
      </x:c>
      <x:c r="L22" s="3" t="str"/>
      <x:c r="M22" s="7" t="str"/>
    </x:row>
    <x:row r="23" ht="42" customHeight="1">
      <x:c r="A23" s="3" t="str">
        <x:v>TC-TVN-G04</x:v>
      </x:c>
      <x:c r="B23" s="7" t="str">
        <x:v>Test Edilmedi</x:v>
      </x:c>
      <x:c r="C23" s="3" t="str">
        <x:v>Ön koşul</x:v>
      </x:c>
      <x:c r="D23" s="3" t="str">
        <x:v>Emir/pozisyon başlangıç temizliği</x:v>
      </x:c>
      <x:c r="E23" s="3" t="str">
        <x:v>İzole test hesabı ve test/replay ortamı.</x:v>
      </x:c>
      <x:c r="F23" s="3" t="str">
        <x:v>Stratejiyi durdur; test hesabındaki ilgili tokenları, bekleyen emirleri ve pozisyonu karşılaştır.</x:v>
      </x:c>
      <x:c r="G23" s="3" t="str">
        <x:v>Başlangıç durumu kayıtlıdır; stop işleminin emir iptali olduğu varsayılmaz.</x:v>
      </x:c>
      <x:c r="H23" s="7" t="str"/>
      <x:c r="I23" s="7" t="str"/>
      <x:c r="J23" s="7" t="str">
        <x:v>Test</x:v>
      </x:c>
      <x:c r="K23" s="3" t="str">
        <x:v>Yüksek</x:v>
      </x:c>
      <x:c r="L23" s="3" t="str"/>
      <x:c r="M23" s="7" t="str"/>
    </x:row>
    <x:row r="24" ht="42" customHeight="1">
      <x:c r="A24" s="3" t="str">
        <x:v>TC-TVN-G05</x:v>
      </x:c>
      <x:c r="B24" s="7" t="str">
        <x:v>Test Edilmedi</x:v>
      </x:c>
      <x:c r="C24" s="3" t="str">
        <x:v>Ön koşul</x:v>
      </x:c>
      <x:c r="D24" s="3" t="str">
        <x:v>GUI–motor kimlik eşleşmesi</x:v>
      </x:c>
      <x:c r="E24" s="3" t="str">
        <x:v>İzole test hesabı ve test/replay ortamı.</x:v>
      </x:c>
      <x:c r="F24" s="3" t="str">
        <x:v>Bir Tavan satırı ekle; uniqueKey, hesap, enstrüman ve strateji ID ile komutu izle.</x:v>
      </x:c>
      <x:c r="G24" s="3" t="str">
        <x:v>Strategy_Type=9, Hft_Type=3, Is_Tavan_Mode=true; uniqueKey aynı stratejiyi gösterir.</x:v>
      </x:c>
      <x:c r="H24" s="7" t="str"/>
      <x:c r="I24" s="7" t="str"/>
      <x:c r="J24" s="7" t="str">
        <x:v>Test</x:v>
      </x:c>
      <x:c r="K24" s="3" t="str">
        <x:v>Yüksek</x:v>
      </x:c>
      <x:c r="L24" s="3" t="str"/>
      <x:c r="M24" s="7" t="str"/>
    </x:row>
    <x:row r="25" ht="54" customHeight="1">
      <x:c r="A25" s="3" t="str">
        <x:v>TC-TVN-G06</x:v>
      </x:c>
      <x:c r="B25" s="7" t="str">
        <x:v>Test Edilmedi</x:v>
      </x:c>
      <x:c r="C25" s="3" t="str">
        <x:v>Ön koşul</x:v>
      </x:c>
      <x:c r="D25" s="3" t="str">
        <x:v>Referans ayarların kaydı ve geri okunması</x:v>
      </x:c>
      <x:c r="E25" s="3" t="str">
        <x:v>İzole test hesabı ve test/replay ortamı.</x:v>
      </x:c>
      <x:c r="F25" s="3" t="str">
        <x:v>RA ayarlarını kaydet; snapshot ve modalı yeniden açarak karşılaştır. Toleransı açık ve pozitif bırak.</x:v>
      </x:c>
      <x:c r="G25" s="3" t="str">
        <x:v>Giriş/çıkış eşikleri, zaman birimleri ve Tl_Size korunur; R01/R02 engelleri ayrı kaydedilir.</x:v>
      </x:c>
      <x:c r="H25" s="7" t="str"/>
      <x:c r="I25" s="7" t="str"/>
      <x:c r="J25" s="7" t="str">
        <x:v>Test</x:v>
      </x:c>
      <x:c r="K25" s="3" t="str">
        <x:v>Yüksek</x:v>
      </x:c>
      <x:c r="L25" s="3" t="str"/>
      <x:c r="M25" s="7" t="str"/>
    </x:row>
    <x:row r="26" ht="54" customHeight="1">
      <x:c r="A26" s="3" t="str">
        <x:v>TC-TVN-G07</x:v>
      </x:c>
      <x:c r="B26" s="7" t="str">
        <x:v>Test Edilmedi</x:v>
      </x:c>
      <x:c r="C26" s="3" t="str">
        <x:v>Ön koşul</x:v>
      </x:c>
      <x:c r="D26" s="3" t="str">
        <x:v>Kanıt ve durdurma/iptal erişimi</x:v>
      </x:c>
      <x:c r="E26" s="3" t="str">
        <x:v>İzole test hesabı ve test/replay ortamı.</x:v>
      </x:c>
      <x:c r="F26" s="3" t="str">
        <x:v>Testte ekran görüntüsü, log, token/father-ref ve zaman damgası kaydını hazırla; test sonu durdurma ve iptal akışlarını kontrol et.</x:v>
      </x:c>
      <x:c r="G26" s="3" t="str">
        <x:v>Bir test sonucu emir/pozisyon kayıtlarına bağlanabilir; yalnız ekran rengi yeterli kanıt sayılmaz.</x:v>
      </x:c>
      <x:c r="H26" s="7" t="str"/>
      <x:c r="I26" s="7" t="str"/>
      <x:c r="J26" s="7" t="str">
        <x:v>Test</x:v>
      </x:c>
      <x:c r="K26" s="3" t="str">
        <x:v>Yüksek</x:v>
      </x:c>
      <x:c r="L26" s="3" t="str"/>
      <x:c r="M26" s="7" t="str"/>
    </x:row>
    <x:row r="27" ht="54" customHeight="1">
      <x:c r="A27" s="3" t="str">
        <x:v>TC-TVN-G08</x:v>
      </x:c>
      <x:c r="B27" s="7" t="str">
        <x:v>Test Edilmedi</x:v>
      </x:c>
      <x:c r="C27" s="3" t="str">
        <x:v>Ön koşul</x:v>
      </x:c>
      <x:c r="D27" s="3" t="str">
        <x:v>Enstrüman referans değerleri</x:v>
      </x:c>
      <x:c r="E27" s="3" t="str">
        <x:v>İzole test hesabı ve test/replay ortamı.</x:v>
      </x:c>
      <x:c r="F27" s="3" t="str">
        <x:v>Tavan ham/TL, decimalCount/divider, tick bantları, azami emir tutarı, başlangıç balance, eşikler ve tarih-saati I/H alanına kaydet.</x:v>
      </x:c>
      <x:c r="G27" s="3" t="str">
        <x:v>Her test aynı referansla yorumlanır; RA rakamları gerçek piyasa değeri veya yatırım önerisi değildir.</x:v>
      </x:c>
      <x:c r="H27" s="7" t="str"/>
      <x:c r="I27" s="7" t="str"/>
      <x:c r="J27" s="7" t="str">
        <x:v>Test</x:v>
      </x:c>
      <x:c r="K27" s="3" t="str">
        <x:v>Yüksek</x:v>
      </x:c>
      <x:c r="L27" s="3" t="str"/>
      <x:c r="M27" s="7" t="str"/>
    </x:row>
  </x:sheetData>
  <x:mergeCells>
    <x:mergeCell ref="G1:H1"/>
    <x:mergeCell ref="I1:L1"/>
    <x:mergeCell ref="A6:M6"/>
    <x:mergeCell ref="A7:M7"/>
    <x:mergeCell ref="A8:M8"/>
    <x:mergeCell ref="A10:M10"/>
    <x:mergeCell ref="A11:M11"/>
    <x:mergeCell ref="A12:M12"/>
    <x:mergeCell ref="A13:M13"/>
    <x:mergeCell ref="A14:M14"/>
    <x:mergeCell ref="A15:M15"/>
    <x:mergeCell ref="A16:M16"/>
    <x:mergeCell ref="A17:M17"/>
  </x:mergeCells>
  <x:conditionalFormatting sqref="B20:B27">
    <x:cfRule type="cellIs" dxfId="0" priority="1" operator="equal">
      <x:formula>"Başarılı"</x:formula>
    </x:cfRule>
    <x:cfRule type="cellIs" dxfId="1" priority="2" operator="equal">
      <x:formula>"Başarısız"</x:formula>
    </x:cfRule>
    <x:cfRule type="cellIs" dxfId="2" priority="3" operator="equal">
      <x:formula>"Test Ediliyor"</x:formula>
    </x:cfRule>
    <x:cfRule type="cellIs" dxfId="3" priority="4" operator="equal">
      <x:formula>"Kısmen"</x:formula>
    </x:cfRule>
    <x:cfRule type="cellIs" dxfId="4" priority="5" operator="equal">
      <x:formula>"Bloke"</x:formula>
    </x:cfRule>
  </x:conditionalFormatting>
  <x:dataValidations count="3">
    <x:dataValidation type="list" sqref="B20:B27">
      <x:formula1>Listeler!$A$2:$A$7</x:formula1>
    </x:dataValidation>
    <x:dataValidation type="list" sqref="J20:J27">
      <x:formula1>Listeler!$B$2:$B$5</x:formula1>
    </x:dataValidation>
    <x:dataValidation type="list" sqref="K20:K27">
      <x:formula1>Listeler!$C$2:$C$4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611f8994ca4c23"/>
  </x:tableParts>
</x:worksheet>
</file>

<file path=xl/worksheets/sheet2.xml><?xml version="1.0" encoding="utf-8"?>
<x:worksheet xmlns:x="http://schemas.openxmlformats.org/spreadsheetml/2006/main">
  <x:sheetPr>
    <x:tabColor rgb="FF92D050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34" hidden="0" customWidth="1"/>
    <x:col min="5" max="5" width="46" hidden="0" customWidth="1"/>
    <x:col min="6" max="6" width="57" hidden="0" customWidth="1"/>
    <x:col min="7" max="7" width="57" hidden="0" customWidth="1"/>
    <x:col min="8" max="8" width="40" hidden="0" customWidth="1"/>
    <x:col min="9" max="9" width="34" hidden="0" customWidth="1"/>
    <x:col min="10" max="10" width="15" hidden="0" customWidth="1"/>
    <x:col min="11" max="11" width="13" hidden="0" customWidth="1"/>
    <x:col min="12" max="12" width="53" hidden="0" customWidth="1"/>
    <x:col min="13" max="13" width="24" hidden="0" customWidth="1"/>
  </x:cols>
  <x:sheetData>
    <x:row r="1">
      <x:c r="A1" s="3"/>
      <x:c r="B1" s="3"/>
      <x:c r="C1" s="6" t="str">
        <x:v>Proje Adı:</x:v>
      </x:c>
      <x:c r="D1" s="7" t="str">
        <x:v>MTrader</x:v>
      </x:c>
      <x:c r="E1" s="6" t="str">
        <x:v>Testi Hazırlayan:</x:v>
      </x:c>
      <x:c r="F1" s="7" t="str"/>
      <x:c r="G1" s="12" t="str">
        <x:v>ÖZET</x:v>
      </x:c>
      <x:c r="H1" s="12"/>
      <x:c r="I1" s="12" t="str">
        <x:v>SONUÇ DAĞILIMI</x:v>
      </x:c>
      <x:c r="J1" s="12"/>
      <x:c r="K1" s="12"/>
      <x:c r="L1" s="12"/>
      <x:c r="M1" s="3"/>
    </x:row>
    <x:row r="2">
      <x:c r="A2" s="3"/>
      <x:c r="B2" s="3"/>
      <x:c r="C2" s="6" t="str">
        <x:v>Modül Adı:</x:v>
      </x:c>
      <x:c r="D2" s="7" t="str">
        <x:v>Tavan (MaxPrice / 9)</x:v>
      </x:c>
      <x:c r="E2" s="6" t="str">
        <x:v>Hazırlama Tarihi:</x:v>
      </x:c>
      <x:c r="F2" s="9" t="n">
        <x:v>46321</x:v>
      </x:c>
      <x:c r="G2" s="3" t="str">
        <x:v>Toplam</x:v>
      </x:c>
      <x:c r="H2" s="14" t="n">
        <x:f>COUNTA(A19:A78)</x:f>
        <x:v>60</x:v>
      </x:c>
      <x:c r="I2" s="3" t="str">
        <x:v>Test Edilmedi</x:v>
      </x:c>
      <x:c r="J2" s="14" t="n">
        <x:f>COUNTIF(B19:B78,"Test Edilmedi")</x:f>
        <x:v>60</x:v>
      </x:c>
      <x:c r="K2" s="3" t="str">
        <x:v>Bloke</x:v>
      </x:c>
      <x:c r="L2" s="14" t="n">
        <x:f>COUNTIF(B19:B78,"Bloke")</x:f>
        <x:v>0</x:v>
      </x:c>
      <x:c r="M2" s="3"/>
    </x:row>
    <x:row r="3">
      <x:c r="A3" s="3"/>
      <x:c r="B3" s="3"/>
      <x:c r="C3" s="6" t="str">
        <x:v>Bölüm:</x:v>
      </x:c>
      <x:c r="D3" s="7" t="str">
        <x:v>Test Senaryoları</x:v>
      </x:c>
      <x:c r="E3" s="6" t="str">
        <x:v>Testi Yapan:</x:v>
      </x:c>
      <x:c r="F3" s="7" t="str"/>
      <x:c r="G3" s="3" t="str">
        <x:v>Başarılı</x:v>
      </x:c>
      <x:c r="H3" s="14" t="n">
        <x:f>COUNTIF(B19:B78,"Başarılı")</x:f>
        <x:v>0</x:v>
      </x:c>
      <x:c r="I3" s="3" t="str">
        <x:v>Test Ediliyor</x:v>
      </x:c>
      <x:c r="J3" s="14" t="n">
        <x:f>COUNTIF(B19:B78,"Test Ediliyor")</x:f>
        <x:v>0</x:v>
      </x:c>
      <x:c r="K3" s="3" t="str">
        <x:v>Boş</x:v>
      </x:c>
      <x:c r="L3" s="14" t="n">
        <x:f>COUNTBLANK(B19:B78)</x:f>
        <x:v>0</x:v>
      </x:c>
      <x:c r="M3" s="3"/>
    </x:row>
    <x:row r="4">
      <x:c r="A4" s="3"/>
      <x:c r="B4" s="3"/>
      <x:c r="C4" s="6" t="str">
        <x:v>Dosya Sürümü:</x:v>
      </x:c>
      <x:c r="D4" s="8" t="n">
        <x:v>1</x:v>
      </x:c>
      <x:c r="E4" s="6" t="str">
        <x:v>Test Tarihi:</x:v>
      </x:c>
      <x:c r="F4" s="9" t="str"/>
      <x:c r="G4" s="3" t="str">
        <x:v>Başarısız</x:v>
      </x:c>
      <x:c r="H4" s="14" t="n">
        <x:f>COUNTIF(B19:B78,"Başarısız")</x:f>
        <x:v>0</x:v>
      </x:c>
      <x:c r="I4" s="3" t="str">
        <x:v>Kısmen</x:v>
      </x:c>
      <x:c r="J4" s="14" t="n">
        <x:f>COUNTIF(B19:B78,"Kısmen")</x:f>
        <x:v>0</x:v>
      </x:c>
      <x:c r="K4" s="3"/>
      <x:c r="L4" s="3"/>
      <x:c r="M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36" customHeight="1">
      <x:c r="A6" s="7" t="str">
        <x:v>Önce Genel sayfasındaki G01–G08 tamamlanır. RA referansı sentetik örnektir; gerçek enstrüman, hesap ve değerler her koşuda kaydedilir. Giriş/çıkış koşulları izole test veya kontrollü replay ortamında oluşturulur.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</x:row>
    <x:row r="7" ht="36" customHeight="1">
      <x:c r="A7" s="7" t="str">
        <x:v>Her satırda H: gerçekleşen gözlem; I: tarih-saat, GUI/motor sürümü, config, uniqueKey, token/father-ref ve log yolu; M: ekran/kanıt bağlantısı. Bilinmeyen alanlar doldurulmaz. Kısmen yalnız koşulan adımlar açıkça yazıldığında seçilir.</x:v>
      </x:c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</x:row>
    <x:row r="8" ht="36" customHeight="1">
      <x:c r="A8" s="7" t="str">
        <x:v>26.10.2026 kaynak incelemesi: HftSrvProd development 4275ccc (master052dd96); yeni GUI development b0474c3; SDK c2b5060; order-service26e9a02. Fetch yapıldı. Çalışan binary/config ve test tarihi ayrıca kaydedilir. Statik bulgu başarılı/başarısız manuel test değildir.</x:v>
      </x:c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>
      <x:c r="A10" s="16" t="str">
        <x:v>TEST EDENİN BİLMESİ GEREKENLER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42" customHeight="1">
      <x:c r="A11" s="17" t="str">
        <x:v>RA: sentetik test/replay verisi. Tavan 20,00 TL (raw 20000, divider 1000), Tl_Size 200 TL → 10 lot; giriş lot 100, iptal lot 200; tolerans açık=3; saniye kuralı 1 sn; tekrar giriş 0 sn; escape/momentum/süpür kapalı; tek fiyat DAY; pozisyon/emir 0. Çalışma saati içinde, snapshot hazır. Gerçek enstrüman değerleri G08 ile kaydedilir.</x:v>
      </x:c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</x:row>
    <x:row r="12" ht="30" customHeight="1">
      <x:c r="A12" s="18" t="str">
        <x:v>Kaynak: tavan-inceleme-2026-10-26.md. P01–P36 parametre eşleştirmesini ve ilgili R kaydını önce okuyun. Aktif kaynak adayları tavan-toplu-issue.md içinde; yeni test kanıtı değildir.</x:v>
      </x:c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 ht="30" customHeight="1">
      <x:c r="A13" s="18" t="str">
        <x:v>A: giriş • B: çıkış • C: geri giriş/restore • D: tolerans • E: süpürme/momentum • F: escape/tiering • U: arayüz • O: operasyon. Her senaryo başlangıç koşuluna ayrı döndürülür.</x:v>
      </x:c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 ht="30" customHeight="1">
      <x:c r="A14" s="18" t="str">
        <x:v>RA toleransı özellikle açık ve3 seçilmiştir. Tolerans kapalı0 → motorun−1 sözleşmesi R01; default saat600/1200 R02. Bu engelleri atlayıp testi Başarılı işaretlemeyin.</x:v>
      </x:c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 ht="30" customHeight="1">
      <x:c r="A15" s="18" t="str">
        <x:v>Birimler: saniye kuralı sn→ms; tekrar giriş sn→100ms; momentum µs→ns; kaçış yüzde×10; olağan dışı yüzde×100. Borsa fiyatı raw/TL/divider birlikte kaydedilir.</x:v>
      </x:c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 ht="30" customHeight="1">
      <x:c r="A16" s="18" t="str">
        <x:v>Stop yeni kararları durdurur; bekleyen emir iptali ve pozisyon kapatma ayrı işlemlerdir. Test sonu O05 uygulanır. Zamanlama/ret/bozuk veri testleri canlı müşteri hesabında koşulmaz.</x:v>
      </x:c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 ht="30" customHeight="1">
      <x:c r="A17" s="18" t="str">
        <x:v>Başarılı: tüm adımlar ve kanıt tamam. Başarısız: doğrulanmış beklenti sapması. Bloke: ortam/ön koşul eksik. Test Ediliyor: sürüyor. Kısmen: koşulan ve kalan adımlar açık. Test Edilmedi: koşulmadı.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 ht="32" customHeight="1">
      <x:c r="A18" s="20" t="str">
        <x:v>Test ID</x:v>
      </x:c>
      <x:c r="B18" s="20" t="str">
        <x:v>Sonuç</x:v>
      </x:c>
      <x:c r="C18" s="20" t="str">
        <x:v>Modül</x:v>
      </x:c>
      <x:c r="D18" s="20" t="str">
        <x:v>Test Senaryosu</x:v>
      </x:c>
      <x:c r="E18" s="20" t="str">
        <x:v>Ön Koşullar</x:v>
      </x:c>
      <x:c r="F18" s="20" t="str">
        <x:v>Test Adımları</x:v>
      </x:c>
      <x:c r="G18" s="20" t="str">
        <x:v>Beklenen Sonuç</x:v>
      </x:c>
      <x:c r="H18" s="20" t="str">
        <x:v>Gerçekleşen Sonuç</x:v>
      </x:c>
      <x:c r="I18" s="20" t="str">
        <x:v>Kanıt / Log Anahtarı</x:v>
      </x:c>
      <x:c r="J18" s="20" t="str">
        <x:v>Ortam</x:v>
      </x:c>
      <x:c r="K18" s="20" t="str">
        <x:v>Öncelik</x:v>
      </x:c>
      <x:c r="L18" s="20" t="str">
        <x:v>Not / Doğrulama</x:v>
      </x:c>
      <x:c r="M18" s="20" t="str">
        <x:v>Ekler</x:v>
      </x:c>
    </x:row>
    <x:row r="19" ht="54" customHeight="1">
      <x:c r="A19" s="3" t="str">
        <x:v>TC-TVN-A01</x:v>
      </x:c>
      <x:c r="B19" s="7" t="str">
        <x:v>Test Edilmedi</x:v>
      </x:c>
      <x:c r="C19" s="3" t="str">
        <x:v>Giriş</x:v>
      </x:c>
      <x:c r="D19" s="3" t="str">
        <x:v>Tetik yokken bekleme</x:v>
      </x:c>
      <x:c r="E19" s="3" t="str">
        <x:v>RA; satış başı tavanın altında, lot eşik üstünde.</x:v>
      </x:c>
      <x:c r="F19" s="3" t="str">
        <x:v>1. Başlat
2. Eşik üstü ve tavan altı veriyi yürüt
3. Emir/token kayıtlarını izle</x:v>
      </x:c>
      <x:c r="G19" s="3" t="str">
        <x:v>Normal erime yolundan giriş oluşmaz; açık diğer tetik bulunmamalı.</x:v>
      </x:c>
      <x:c r="H19" s="7" t="str"/>
      <x:c r="I19" s="7" t="str"/>
      <x:c r="J19" s="7" t="str">
        <x:v>Test</x:v>
      </x:c>
      <x:c r="K19" s="3" t="str">
        <x:v>Yüksek</x:v>
      </x:c>
      <x:c r="L19" s="3" t="str">
        <x:v>P02/P03; shouldEnterPosition</x:v>
      </x:c>
      <x:c r="M19" s="7" t="str"/>
    </x:row>
    <x:row r="20" ht="54" customHeight="1">
      <x:c r="A20" s="3" t="str">
        <x:v>TC-TVN-A02</x:v>
      </x:c>
      <x:c r="B20" s="7" t="str">
        <x:v>Test Edilmedi</x:v>
      </x:c>
      <x:c r="C20" s="3" t="str">
        <x:v>Giriş</x:v>
      </x:c>
      <x:c r="D20" s="3" t="str">
        <x:v>Lot eşiğinde alış</x:v>
      </x:c>
      <x:c r="E20" s="3" t="str">
        <x:v>RA; satış başı tavanda.</x:v>
      </x:c>
      <x:c r="F20" s="3" t="str">
        <x:v>1. Satış lotunu 101 yap
2. 100 ve 99 olaylarını ayrı yürüt
3. Komut ve fillleri kaydet</x:v>
      </x:c>
      <x:c r="G20" s="3" t="str">
        <x:v>101 için normal giriş yok; 100/99 için uygun ön koşullarda tavan fiyatlı DAY limit alış denenir.</x:v>
      </x:c>
      <x:c r="H20" s="7" t="str"/>
      <x:c r="I20" s="7" t="str"/>
      <x:c r="J20" s="7" t="str">
        <x:v>Test</x:v>
      </x:c>
      <x:c r="K20" s="3" t="str">
        <x:v>Yüksek</x:v>
      </x:c>
      <x:c r="L20" s="3" t="str">
        <x:v>P02; diğer tetikler kapalı.</x:v>
      </x:c>
      <x:c r="M20" s="7" t="str"/>
    </x:row>
    <x:row r="21" ht="54" customHeight="1">
      <x:c r="A21" s="3" t="str">
        <x:v>TC-TVN-A03</x:v>
      </x:c>
      <x:c r="B21" s="7" t="str">
        <x:v>Test Edilmedi</x:v>
      </x:c>
      <x:c r="C21" s="3" t="str">
        <x:v>Giriş</x:v>
      </x:c>
      <x:c r="D21" s="3" t="str">
        <x:v>Yüzde eşiğinde alış</x:v>
      </x:c>
      <x:c r="E21" s="3" t="str">
        <x:v>RA; yüzde modu %20, Melt_Lot=0; görülen en yüksek satış lotu 1000.</x:v>
      </x:c>
      <x:c r="F21" s="3" t="str">
        <x:v>1. 1000 lot referansı oluştur
2. 201, 200, 199 lot olaylarını ayrı test et</x:v>
      </x:c>
      <x:c r="G21" s="3" t="str">
        <x:v>Eşik 200 lot; uygun olayda 200 ve altında giriş denenir. Referans son tek lot değil görülen en yüksek lottur.</x:v>
      </x:c>
      <x:c r="H21" s="7" t="str"/>
      <x:c r="I21" s="7" t="str"/>
      <x:c r="J21" s="7" t="str">
        <x:v>Test</x:v>
      </x:c>
      <x:c r="K21" s="3" t="str">
        <x:v>Yüksek</x:v>
      </x:c>
      <x:c r="L21" s="3" t="str">
        <x:v>P03; yüzde referansı geçişte sıfırlanabilir.</x:v>
      </x:c>
      <x:c r="M21" s="7" t="str"/>
    </x:row>
    <x:row r="22" ht="54" customHeight="1">
      <x:c r="A22" s="3" t="str">
        <x:v>TC-TVN-A04</x:v>
      </x:c>
      <x:c r="B22" s="7" t="str">
        <x:v>Test Edilmedi</x:v>
      </x:c>
      <x:c r="C22" s="3" t="str">
        <x:v>Giriş</x:v>
      </x:c>
      <x:c r="D22" s="3" t="str">
        <x:v>Tavanın ilk kilitlenmesi</x:v>
      </x:c>
      <x:c r="E22" s="3" t="str">
        <x:v>RA; önce NotTavan.</x:v>
      </x:c>
      <x:c r="F22" s="3" t="str">
        <x:v>1. Alış headerını tavana getir
2. Satış tarafını boşalt
3. HeaderChanged ve giriş kaydını izle</x:v>
      </x:c>
      <x:c r="G22" s="3" t="str">
        <x:v>İlk kilitlenme header yolu giriş dener; lot/yüzde tetiğinden ayrıdır.</x:v>
      </x:c>
      <x:c r="H22" s="7" t="str"/>
      <x:c r="I22" s="7" t="str"/>
      <x:c r="J22" s="7" t="str">
        <x:v>Test</x:v>
      </x:c>
      <x:c r="K22" s="3" t="str">
        <x:v>Yüksek</x:v>
      </x:c>
      <x:c r="L22" s="3" t="str">
        <x:v>P01; R03 tekrar giriş beklemesi sınırı.</x:v>
      </x:c>
      <x:c r="M22" s="7" t="str"/>
    </x:row>
    <x:row r="23" ht="54" customHeight="1">
      <x:c r="A23" s="3" t="str">
        <x:v>TC-TVN-A05</x:v>
      </x:c>
      <x:c r="B23" s="7" t="str">
        <x:v>Test Edilmedi</x:v>
      </x:c>
      <x:c r="C23" s="3" t="str">
        <x:v>Giriş</x:v>
      </x:c>
      <x:c r="D23" s="3" t="str">
        <x:v>Aynı tetiğin tekrarlanması</x:v>
      </x:c>
      <x:c r="E23" s="3" t="str">
        <x:v>RA; ilk alış gönderilmiş/kabul bekliyor.</x:v>
      </x:c>
      <x:c r="F23" s="3" t="str">
        <x:v>1. Aynı tavan olayını tekrar gönder
2. Accept/fill öncesi ve sonrası toplam alışları karşılaştır</x:v>
      </x:c>
      <x:c r="G23" s="3" t="str">
        <x:v>Aynı açık pozisyon için bağımsız mükerrer tam hedef giriş oluşmamalı; father-ref ve pending niyet kaydı incelenir.</x:v>
      </x:c>
      <x:c r="H23" s="7" t="str"/>
      <x:c r="I23" s="7" t="str"/>
      <x:c r="J23" s="7" t="str">
        <x:v>Test</x:v>
      </x:c>
      <x:c r="K23" s="3" t="str">
        <x:v>Yüksek</x:v>
      </x:c>
      <x:c r="L23" s="3" t="str">
        <x:v>R08/R09; olay sırası kaydedilmeli.</x:v>
      </x:c>
      <x:c r="M23" s="7" t="str"/>
    </x:row>
    <x:row r="24" ht="54" customHeight="1">
      <x:c r="A24" s="3" t="str">
        <x:v>TC-TVN-A06</x:v>
      </x:c>
      <x:c r="B24" s="7" t="str">
        <x:v>Test Edilmedi</x:v>
      </x:c>
      <x:c r="C24" s="3" t="str">
        <x:v>Giriş</x:v>
      </x:c>
      <x:c r="D24" s="3" t="str">
        <x:v>TL hedefinin lota çevrilmesi</x:v>
      </x:c>
      <x:c r="E24" s="3" t="str">
        <x:v>RA; tavan raw 20000, divider 1000.</x:v>
      </x:c>
      <x:c r="F24" s="3" t="str">
        <x:v>1. Tl_Size=200 ile tetikle
2. 209 TL ile ayrı temiz test yap</x:v>
      </x:c>
      <x:c r="G24" s="3" t="str">
        <x:v>İncelenen motor hesabı floor(TL×1000/raw): 200 ve 209 TL için 10 lot. Fill miktarı ayrıca kaydedilir.</x:v>
      </x:c>
      <x:c r="H24" s="7" t="str"/>
      <x:c r="I24" s="7" t="str"/>
      <x:c r="J24" s="7" t="str">
        <x:v>Test</x:v>
      </x:c>
      <x:c r="K24" s="3" t="str">
        <x:v>Yüksek</x:v>
      </x:c>
      <x:c r="L24" s="3" t="str">
        <x:v>P04; divider 1000 dışı R04.</x:v>
      </x:c>
      <x:c r="M24" s="7" t="str"/>
    </x:row>
    <x:row r="25" ht="54" customHeight="1">
      <x:c r="A25" s="3" t="str">
        <x:v>TC-TVN-A07</x:v>
      </x:c>
      <x:c r="B25" s="7" t="str">
        <x:v>Test Edilmedi</x:v>
      </x:c>
      <x:c r="C25" s="3" t="str">
        <x:v>Giriş</x:v>
      </x:c>
      <x:c r="D25" s="3" t="str">
        <x:v>Bir lotun altındaki TL hedefi</x:v>
      </x:c>
      <x:c r="E25" s="3" t="str">
        <x:v>RA; tavan 20 TL; Tl_Size=1 ve 19.</x:v>
      </x:c>
      <x:c r="F25" s="3" t="str">
        <x:v>1. GUI lot/TL gösterimini kaydet
2. İzole ortamda payload ve motor miktarını incele</x:v>
      </x:c>
      <x:c r="G25" s="3" t="str">
        <x:v>GUI minimum bir lot gösterebilirken motor hesabı 0 olabilir; sonuç teyit edilmeden başarılı sayılmaz.</x:v>
      </x:c>
      <x:c r="H25" s="7" t="str"/>
      <x:c r="I25" s="7" t="str"/>
      <x:c r="J25" s="7" t="str">
        <x:v>Test</x:v>
      </x:c>
      <x:c r="K25" s="3" t="str">
        <x:v>Yüksek</x:v>
      </x:c>
      <x:c r="L25" s="3" t="str">
        <x:v>R05; simülasyon/kod testi, canlı emir yok.</x:v>
      </x:c>
      <x:c r="M25" s="7" t="str"/>
    </x:row>
    <x:row r="26" ht="82" customHeight="1">
      <x:c r="A26" s="3" t="str">
        <x:v>TC-TVN-A08</x:v>
      </x:c>
      <x:c r="B26" s="7" t="str">
        <x:v>Test Edilmedi</x:v>
      </x:c>
      <x:c r="C26" s="3" t="str">
        <x:v>Giriş</x:v>
      </x:c>
      <x:c r="D26" s="3" t="str">
        <x:v>Alınca lotu 1 yap</x:v>
      </x:c>
      <x:c r="E26" s="3" t="str">
        <x:v>RA; Is_Set_To_One açık.</x:v>
      </x:c>
      <x:c r="F26" s="3" t="str">
        <x:v>1. İlk girişi tetikle
2. Snapshot/DB geri bildiriminde Melt_Lot değerini izle
3. Pozisyon kapanınca 2/1 lot sınırında tekrar dene</x:v>
      </x:c>
      <x:c r="G26" s="3" t="str">
        <x:v>İlk girişte Melt_Lot=1 geri bildirilir; sonraki karar ve abonelik eşiğinin uyumu ayrıca doğrulanır.</x:v>
      </x:c>
      <x:c r="H26" s="7" t="str"/>
      <x:c r="I26" s="7" t="str"/>
      <x:c r="J26" s="7" t="str">
        <x:v>Test</x:v>
      </x:c>
      <x:c r="K26" s="3" t="str">
        <x:v>Yüksek</x:v>
      </x:c>
      <x:c r="L26" s="3" t="str">
        <x:v>P05; R15 canlı abonelik teyidi.</x:v>
      </x:c>
      <x:c r="M26" s="7" t="str"/>
    </x:row>
    <x:row r="27" ht="54" customHeight="1">
      <x:c r="A27" s="3" t="str">
        <x:v>TC-TVN-A09</x:v>
      </x:c>
      <x:c r="B27" s="7" t="str">
        <x:v>Test Edilmedi</x:v>
      </x:c>
      <x:c r="C27" s="3" t="str">
        <x:v>Giriş</x:v>
      </x:c>
      <x:c r="D27" s="3" t="str">
        <x:v>Başlatmadan önce ilk snapshot</x:v>
      </x:c>
      <x:c r="E27" s="3" t="str">
        <x:v>RA; snapshot gecikiyor.</x:v>
      </x:c>
      <x:c r="F27" s="3" t="str">
        <x:v>1. Başlat
2. Snapshot öncesi header/level olayı üret
3. Snapshot sonrası tekrarla</x:v>
      </x:c>
      <x:c r="G27" s="3" t="str">
        <x:v>İlk snapshot öncesi normal header/level kararları atlanır; sonrası güncel defter kullanılır.</x:v>
      </x:c>
      <x:c r="H27" s="7" t="str"/>
      <x:c r="I27" s="7" t="str"/>
      <x:c r="J27" s="7" t="str">
        <x:v>Test</x:v>
      </x:c>
      <x:c r="K27" s="3" t="str">
        <x:v>Yüksek</x:v>
      </x:c>
      <x:c r="L27" s="3" t="str">
        <x:v>P01; eski snapshot yeniden kullanılmamalı.</x:v>
      </x:c>
      <x:c r="M27" s="7" t="str"/>
    </x:row>
    <x:row r="28" ht="42" customHeight="1">
      <x:c r="A28" s="3" t="str">
        <x:v>TC-TVN-A10</x:v>
      </x:c>
      <x:c r="B28" s="7" t="str">
        <x:v>Test Edilmedi</x:v>
      </x:c>
      <x:c r="C28" s="3" t="str">
        <x:v>Giriş</x:v>
      </x:c>
      <x:c r="D28" s="3" t="str">
        <x:v>Başlangıç/bitiş sınırları</x:v>
      </x:c>
      <x:c r="E28" s="3" t="str">
        <x:v>RA; test saati/sentetik timestamp kontrol edilebilir.</x:v>
      </x:c>
      <x:c r="F28" s="3" t="str">
        <x:v>1. Start−1, Start, Start+1 olayları üret
2. End−1, End, End+1 için tekrarla</x:v>
      </x:c>
      <x:c r="G28" s="3" t="str">
        <x:v>Snapshot dışındaki olaylar yalnız Start &lt; t &lt; End aralığında işlenir; eşit sınır dahil değildir.</x:v>
      </x:c>
      <x:c r="H28" s="7" t="str"/>
      <x:c r="I28" s="7" t="str"/>
      <x:c r="J28" s="7" t="str">
        <x:v>Test</x:v>
      </x:c>
      <x:c r="K28" s="3" t="str">
        <x:v>Yüksek</x:v>
      </x:c>
      <x:c r="L28" s="3" t="str">
        <x:v>P07/P08; R06 koruyucu çıkış kapsamı.</x:v>
      </x:c>
      <x:c r="M28" s="7" t="str"/>
    </x:row>
    <x:row r="29" ht="54" customHeight="1">
      <x:c r="A29" s="3" t="str">
        <x:v>TC-TVN-B01</x:v>
      </x:c>
      <x:c r="B29" s="7" t="str">
        <x:v>Test Edilmedi</x:v>
      </x:c>
      <x:c r="C29" s="3" t="str">
        <x:v>Çıkış</x:v>
      </x:c>
      <x:c r="D29" s="3" t="str">
        <x:v>Tavan bozulunca çıkış</x:v>
      </x:c>
      <x:c r="E29" s="3" t="str">
        <x:v>RA; 10 lot dolmuş; grace süresi geçmiş.</x:v>
      </x:c>
      <x:c r="F29" s="3" t="str">
        <x:v>1. Alış headerını tavan altına indir
2. Cancel ve satış emirlerini izleyip balance ile karşılaştır</x:v>
      </x:c>
      <x:c r="G29" s="3" t="str">
        <x:v>Kapatma yolu önce bekleyen emirleri iptal eder; depth boşsa pozitif balance kadar satış dener.</x:v>
      </x:c>
      <x:c r="H29" s="7" t="str"/>
      <x:c r="I29" s="7" t="str"/>
      <x:c r="J29" s="7" t="str">
        <x:v>Test</x:v>
      </x:c>
      <x:c r="K29" s="3" t="str">
        <x:v>Yüksek</x:v>
      </x:c>
      <x:c r="L29" s="3" t="str">
        <x:v>R07: cancel ACK sonrası yeniden değerlendirme; fill garantisi değil.</x:v>
      </x:c>
      <x:c r="M29" s="7" t="str"/>
    </x:row>
    <x:row r="30" ht="54" customHeight="1">
      <x:c r="A30" s="3" t="str">
        <x:v>TC-TVN-B02</x:v>
      </x:c>
      <x:c r="B30" s="7" t="str">
        <x:v>Test Edilmedi</x:v>
      </x:c>
      <x:c r="C30" s="3" t="str">
        <x:v>Çıkış</x:v>
      </x:c>
      <x:c r="D30" s="3" t="str">
        <x:v>Lot eşiğinde çıkış</x:v>
      </x:c>
      <x:c r="E30" s="3" t="str">
        <x:v>RA; 10 lot pozisyon; alış başı tavanda, grace geçmiş.</x:v>
      </x:c>
      <x:c r="F30" s="3" t="str">
        <x:v>1. Alış kuyruğunu 201→200→199 yap
2. Ayrı temiz denemelerde satış tetiklerini karşılaştır</x:v>
      </x:c>
      <x:c r="G30" s="3" t="str">
        <x:v>200 ve altında çıkış koşulu sağlanır; 201 yalnız lot tetiğini sağlamaz.</x:v>
      </x:c>
      <x:c r="H30" s="7" t="str"/>
      <x:c r="I30" s="7" t="str"/>
      <x:c r="J30" s="7" t="str">
        <x:v>Test</x:v>
      </x:c>
      <x:c r="K30" s="3" t="str">
        <x:v>Yüksek</x:v>
      </x:c>
      <x:c r="L30" s="3" t="str">
        <x:v>P09; &lt;= sınırı.</x:v>
      </x:c>
      <x:c r="M30" s="7" t="str"/>
    </x:row>
    <x:row r="31" ht="42" customHeight="1">
      <x:c r="A31" s="3" t="str">
        <x:v>TC-TVN-B03</x:v>
      </x:c>
      <x:c r="B31" s="7" t="str">
        <x:v>Test Edilmedi</x:v>
      </x:c>
      <x:c r="C31" s="3" t="str">
        <x:v>Çıkış</x:v>
      </x:c>
      <x:c r="D31" s="3" t="str">
        <x:v>Yüzde eşiğinde çıkış</x:v>
      </x:c>
      <x:c r="E31" s="3" t="str">
        <x:v>RA; Cancel_Lot_Number=0, Cancel_Percentage=20; max görülen alış lotu1000.</x:v>
      </x:c>
      <x:c r="F31" s="3" t="str">
        <x:v>1. 201/200/199 lot olayları üret
2. Eşik hesabını logla karşılaştır</x:v>
      </x:c>
      <x:c r="G31" s="3" t="str">
        <x:v>Eşik 200 lot; grace sonrası 200 ve altında çıkış denenir.</x:v>
      </x:c>
      <x:c r="H31" s="7" t="str"/>
      <x:c r="I31" s="7" t="str"/>
      <x:c r="J31" s="7" t="str">
        <x:v>Test</x:v>
      </x:c>
      <x:c r="K31" s="3" t="str">
        <x:v>Yüksek</x:v>
      </x:c>
      <x:c r="L31" s="3" t="str">
        <x:v>P10; referans filigranı durum geçişlerinde sıfırlanır.</x:v>
      </x:c>
      <x:c r="M31" s="7" t="str"/>
    </x:row>
    <x:row r="32" ht="42" customHeight="1">
      <x:c r="A32" s="3" t="str">
        <x:v>TC-TVN-B04</x:v>
      </x:c>
      <x:c r="B32" s="7" t="str">
        <x:v>Test Edilmedi</x:v>
      </x:c>
      <x:c r="C32" s="3" t="str">
        <x:v>Çıkış</x:v>
      </x:c>
      <x:c r="D32" s="3" t="str">
        <x:v>Tek fiyatla satış</x:v>
      </x:c>
      <x:c r="E32" s="3" t="str">
        <x:v>RA; dolmuş pozisyon; Is_Cancel_Mode_One_Price=true.</x:v>
      </x:c>
      <x:c r="F32" s="3" t="str">
        <x:v>1. Çıkışı tetikle
2. Satış yönü/fiyat/tif kaydet</x:v>
      </x:c>
      <x:c r="G32" s="3" t="str">
        <x:v>Satış tavan fiyatında limit DAY gider; alıcı yoksa bekleyebilir.</x:v>
      </x:c>
      <x:c r="H32" s="7" t="str"/>
      <x:c r="I32" s="7" t="str"/>
      <x:c r="J32" s="7" t="str">
        <x:v>Test</x:v>
      </x:c>
      <x:c r="K32" s="3" t="str">
        <x:v>Yüksek</x:v>
      </x:c>
      <x:c r="L32" s="3" t="str">
        <x:v>P11; piyasa emri değildir.</x:v>
      </x:c>
      <x:c r="M32" s="7" t="str"/>
    </x:row>
    <x:row r="33" ht="54" customHeight="1">
      <x:c r="A33" s="3" t="str">
        <x:v>TC-TVN-B05</x:v>
      </x:c>
      <x:c r="B33" s="7" t="str">
        <x:v>Test Edilmedi</x:v>
      </x:c>
      <x:c r="C33" s="3" t="str">
        <x:v>Çıkış</x:v>
      </x:c>
      <x:c r="D33" s="3" t="str">
        <x:v>Aktif yüzde fiyatı</x:v>
      </x:c>
      <x:c r="E33" s="3" t="str">
        <x:v>RA; aktif fiyat %1,0; tavan20 TL.</x:v>
      </x:c>
      <x:c r="F33" s="3" t="str">
        <x:v>1. Ayarı kaydet
2. Activate_Percentage=10 kaydını kontrol et
3. Çıkış fiyatını tick ile karşılaştır</x:v>
      </x:c>
      <x:c r="G33" s="3" t="str">
        <x:v>Raw hedef 20000×(1−10/1000)=19800, geçerli ticke aşağı yuvarlanır; gerçek fill en iyi fiyatlarda olabilir.</x:v>
      </x:c>
      <x:c r="H33" s="7" t="str"/>
      <x:c r="I33" s="7" t="str"/>
      <x:c r="J33" s="7" t="str">
        <x:v>Test</x:v>
      </x:c>
      <x:c r="K33" s="3" t="str">
        <x:v>Yüksek</x:v>
      </x:c>
      <x:c r="L33" s="3" t="str">
        <x:v>P12; yüzde ekranı/binde wire ayrımı.</x:v>
      </x:c>
      <x:c r="M33" s="7" t="str"/>
    </x:row>
    <x:row r="34" ht="42" customHeight="1">
      <x:c r="A34" s="3" t="str">
        <x:v>TC-TVN-B06</x:v>
      </x:c>
      <x:c r="B34" s="7" t="str">
        <x:v>Test Edilmedi</x:v>
      </x:c>
      <x:c r="C34" s="3" t="str">
        <x:v>Çıkış</x:v>
      </x:c>
      <x:c r="D34" s="3" t="str">
        <x:v>Aktif kademe fiyatı</x:v>
      </x:c>
      <x:c r="E34" s="3" t="str">
        <x:v>RA; aktif kademe N=2; aynı tick bandı.</x:v>
      </x:c>
      <x:c r="F34" s="3" t="str">
        <x:v>1. Tavan tickini kaydet
2. Çıkışta limit fiyatı karşılaştır</x:v>
      </x:c>
      <x:c r="G34" s="3" t="str">
        <x:v>Motor tavan raw−2×tavan tick hesabını kullanır; kademe bant geçişi R14 ile ayrıca sınanır.</x:v>
      </x:c>
      <x:c r="H34" s="7" t="str"/>
      <x:c r="I34" s="7" t="str"/>
      <x:c r="J34" s="7" t="str">
        <x:v>Test</x:v>
      </x:c>
      <x:c r="K34" s="3" t="str">
        <x:v>Yüksek</x:v>
      </x:c>
      <x:c r="L34" s="3" t="str">
        <x:v>P13; sabit tick hesabı.</x:v>
      </x:c>
      <x:c r="M34" s="7" t="str"/>
    </x:row>
    <x:row r="35" ht="54" customHeight="1">
      <x:c r="A35" s="3" t="str">
        <x:v>TC-TVN-B07</x:v>
      </x:c>
      <x:c r="B35" s="7" t="str">
        <x:v>Test Edilmedi</x:v>
      </x:c>
      <x:c r="C35" s="3" t="str">
        <x:v>Çıkış</x:v>
      </x:c>
      <x:c r="D35" s="3" t="str">
        <x:v>KIE çıkışta kalan miktar</x:v>
      </x:c>
      <x:c r="E35" s="3" t="str">
        <x:v>RA; Kie_Sell açık; 10 lotun 4ünü karşılayacak karşı likidite.</x:v>
      </x:c>
      <x:c r="F35" s="3" t="str">
        <x:v>1. Çıkışı tetikle
2. Fill ve borsa cancel sırasını izle
3. Kalan balanceı karşılaştır</x:v>
      </x:c>
      <x:c r="G35" s="3" t="str">
        <x:v>Çıkış IOC; dolmayan parça borsada iptal olur, 6 lot balance kalabilir. Tam kapanış varsayılmaz.</x:v>
      </x:c>
      <x:c r="H35" s="7" t="str"/>
      <x:c r="I35" s="7" t="str"/>
      <x:c r="J35" s="7" t="str">
        <x:v>Test</x:v>
      </x:c>
      <x:c r="K35" s="3" t="str">
        <x:v>Yüksek</x:v>
      </x:c>
      <x:c r="L35" s="3" t="str">
        <x:v>P14; C06 restore.</x:v>
      </x:c>
      <x:c r="M35" s="7" t="str"/>
    </x:row>
    <x:row r="36" ht="42" customHeight="1">
      <x:c r="A36" s="3" t="str">
        <x:v>TC-TVN-B08</x:v>
      </x:c>
      <x:c r="B36" s="7" t="str">
        <x:v>Test Edilmedi</x:v>
      </x:c>
      <x:c r="C36" s="3" t="str">
        <x:v>Çıkış</x:v>
      </x:c>
      <x:c r="D36" s="3" t="str">
        <x:v>Saniye kuralı sırasında tavan bozulması</x:v>
      </x:c>
      <x:c r="E36" s="3" t="str">
        <x:v>RA; secondRule=1 sn; giriş anı t0.</x:v>
      </x:c>
      <x:c r="F36" s="3" t="str">
        <x:v>1. t0+0,5 sn’de tavanı boz
2. Eşit süre ve hemen sonrası olayları karşılaştır</x:v>
      </x:c>
      <x:c r="G36" s="3" t="str">
        <x:v>Normal/header çıkış grace bitmeden engellenir; sonraki uygun olay veya timer yeniden değerlendirir.</x:v>
      </x:c>
      <x:c r="H36" s="7" t="str"/>
      <x:c r="I36" s="7" t="str"/>
      <x:c r="J36" s="7" t="str">
        <x:v>Test</x:v>
      </x:c>
      <x:c r="K36" s="3" t="str">
        <x:v>Yüksek</x:v>
      </x:c>
      <x:c r="L36" s="3" t="str">
        <x:v>P15; zaman kaynağı ve tolerans ölçülmeli.</x:v>
      </x:c>
      <x:c r="M36" s="7" t="str"/>
    </x:row>
    <x:row r="37" ht="54" customHeight="1">
      <x:c r="A37" s="3" t="str">
        <x:v>TC-TVN-B09</x:v>
      </x:c>
      <x:c r="B37" s="7" t="str">
        <x:v>Test Edilmedi</x:v>
      </x:c>
      <x:c r="C37" s="3" t="str">
        <x:v>Çıkış</x:v>
      </x:c>
      <x:c r="D37" s="3" t="str">
        <x:v>Defter sessizken timer çıkışı</x:v>
      </x:c>
      <x:c r="E37" s="3" t="str">
        <x:v>RA; grace sırasında çıkış koşulu oluştu; sonra veri yok.</x:v>
      </x:c>
      <x:c r="F37" s="3" t="str">
        <x:v>1. Defteri sessiz bırak
2. t0+1 sn civarı timer kaydını izle</x:v>
      </x:c>
      <x:c r="G37" s="3" t="str">
        <x:v>Timer worker kuyruğuna kontrol olayı atar; koşul sürüyorsa kapatma değerlendirilir. Süre birebir fill zamanı değildir.</x:v>
      </x:c>
      <x:c r="H37" s="7" t="str"/>
      <x:c r="I37" s="7" t="str"/>
      <x:c r="J37" s="7" t="str">
        <x:v>Test</x:v>
      </x:c>
      <x:c r="K37" s="3" t="str">
        <x:v>Yüksek</x:v>
      </x:c>
      <x:c r="L37" s="3" t="str">
        <x:v>R06/R07; saat filtresi timerı da etkiler.</x:v>
      </x:c>
      <x:c r="M37" s="7" t="str"/>
    </x:row>
    <x:row r="38" ht="42" customHeight="1">
      <x:c r="A38" s="3" t="str">
        <x:v>TC-TVN-B10</x:v>
      </x:c>
      <x:c r="B38" s="7" t="str">
        <x:v>Test Edilmedi</x:v>
      </x:c>
      <x:c r="C38" s="3" t="str">
        <x:v>Çıkış</x:v>
      </x:c>
      <x:c r="D38" s="3" t="str">
        <x:v>Sıfır bakiye ile iptal</x:v>
      </x:c>
      <x:c r="E38" s="3" t="str">
        <x:v>RA; giriş alışları bekliyor, fill yok.</x:v>
      </x:c>
      <x:c r="F38" s="3" t="str">
        <x:v>1. Grace sonrası çıkışı tetikle
2. İptal ACKlerini ve yeni satışları izle</x:v>
      </x:c>
      <x:c r="G38" s="3" t="str">
        <x:v>Bekleyen alışlar iptal edilir; balance=0 için pozisyon satışı gönderilmez.</x:v>
      </x:c>
      <x:c r="H38" s="7" t="str"/>
      <x:c r="I38" s="7" t="str"/>
      <x:c r="J38" s="7" t="str">
        <x:v>Test</x:v>
      </x:c>
      <x:c r="K38" s="3" t="str">
        <x:v>Yüksek</x:v>
      </x:c>
      <x:c r="L38" s="3" t="str">
        <x:v>R07; ACK sonrası bitiş durumu teyit.</x:v>
      </x:c>
      <x:c r="M38" s="7" t="str"/>
    </x:row>
    <x:row r="39" ht="42" customHeight="1">
      <x:c r="A39" s="3" t="str">
        <x:v>TC-TVN-C01</x:v>
      </x:c>
      <x:c r="B39" s="7" t="str">
        <x:v>Test Edilmedi</x:v>
      </x:c>
      <x:c r="C39" s="3" t="str">
        <x:v>Geri giriş</x:v>
      </x:c>
      <x:c r="D39" s="3" t="str">
        <x:v>Recover ile kuyruğa dönüş</x:v>
      </x:c>
      <x:c r="E39" s="3" t="str">
        <x:v>RA; Should_Recover=true; tavan bozulmadan iptal eşiğiyle çıkış tamam.</x:v>
      </x:c>
      <x:c r="F39" s="3" t="str">
        <x:v>1. Alış kuyruğunu 199→200→201 artır
2. Recover nedenini logdan izle</x:v>
      </x:c>
      <x:c r="G39" s="3" t="str">
        <x:v>Tavan durumu sürüyorsa ve Cancel_Lot_Number=200 ise &gt;=200 lotta recover girişi denenir.</x:v>
      </x:c>
      <x:c r="H39" s="7" t="str"/>
      <x:c r="I39" s="7" t="str"/>
      <x:c r="J39" s="7" t="str">
        <x:v>Test</x:v>
      </x:c>
      <x:c r="K39" s="3" t="str">
        <x:v>Yüksek</x:v>
      </x:c>
      <x:c r="L39" s="3" t="str">
        <x:v>P16; miktar/TTL ön koşulları ayrı.</x:v>
      </x:c>
      <x:c r="M39" s="7" t="str"/>
    </x:row>
    <x:row r="40" ht="42" customHeight="1">
      <x:c r="A40" s="3" t="str">
        <x:v>TC-TVN-C02</x:v>
      </x:c>
      <x:c r="B40" s="7" t="str">
        <x:v>Test Edilmedi</x:v>
      </x:c>
      <x:c r="C40" s="3" t="str">
        <x:v>Geri giriş</x:v>
      </x:c>
      <x:c r="D40" s="3" t="str">
        <x:v>Yüzde iptal modunda recover</x:v>
      </x:c>
      <x:c r="E40" s="3" t="str">
        <x:v>RA; Should_Recover=true; Cancel_Lot_Number=0.</x:v>
      </x:c>
      <x:c r="F40" s="3" t="str">
        <x:v>1. Tavan korunurken çıkışı tamamla
2. Alış kuyruğunu yükselt</x:v>
      </x:c>
      <x:c r="G40" s="3" t="str">
        <x:v>Motor recover dalı Cancel_Lot_Number=0 iken giriş yapmaz; ürün beklentisi R12.</x:v>
      </x:c>
      <x:c r="H40" s="7" t="str"/>
      <x:c r="I40" s="7" t="str"/>
      <x:c r="J40" s="7" t="str">
        <x:v>Test</x:v>
      </x:c>
      <x:c r="K40" s="3" t="str">
        <x:v>Yüksek</x:v>
      </x:c>
      <x:c r="L40" s="3" t="str">
        <x:v>P16/P10; header kilitlenmesi ayrı tetik.</x:v>
      </x:c>
      <x:c r="M40" s="7" t="str"/>
    </x:row>
    <x:row r="41" ht="42" customHeight="1">
      <x:c r="A41" s="3" t="str">
        <x:v>TC-TVN-C03</x:v>
      </x:c>
      <x:c r="B41" s="7" t="str">
        <x:v>Test Edilmedi</x:v>
      </x:c>
      <x:c r="C41" s="3" t="str">
        <x:v>Geri giriş</x:v>
      </x:c>
      <x:c r="D41" s="3" t="str">
        <x:v>Recover sonrası bekleme açık/kapalı</x:v>
      </x:c>
      <x:c r="E41" s="3" t="str">
        <x:v>RA; recover girişi; Recover_Second_Rule değerlerini ayrı test et.</x:v>
      </x:c>
      <x:c r="F41" s="3" t="str">
        <x:v>1. Recover sonrası hemen çıkış koşulu üret
2. Bayrak açık/kapalı süreleri karşılaştır</x:v>
      </x:c>
      <x:c r="G41" s="3" t="str">
        <x:v>Açıkken secondRule uygulanır; kapalıyken cameFromRecover girişinde bekleme atlanır.</x:v>
      </x:c>
      <x:c r="H41" s="7" t="str"/>
      <x:c r="I41" s="7" t="str"/>
      <x:c r="J41" s="7" t="str">
        <x:v>Test</x:v>
      </x:c>
      <x:c r="K41" s="3" t="str">
        <x:v>Yüksek</x:v>
      </x:c>
      <x:c r="L41" s="3" t="str">
        <x:v>P17; restore recover ile aynı değildir.</x:v>
      </x:c>
      <x:c r="M41" s="7" t="str"/>
    </x:row>
    <x:row r="42" ht="54" customHeight="1">
      <x:c r="A42" s="3" t="str">
        <x:v>TC-TVN-C04</x:v>
      </x:c>
      <x:c r="B42" s="7" t="str">
        <x:v>Test Edilmedi</x:v>
      </x:c>
      <x:c r="C42" s="3" t="str">
        <x:v>Geri giriş</x:v>
      </x:c>
      <x:c r="D42" s="3" t="str">
        <x:v>Tavan eridikten sonra bekleme</x:v>
      </x:c>
      <x:c r="E42" s="3" t="str">
        <x:v>RA; Open_Position_Second_Rule ekranda0,5 sn (wire5).</x:v>
      </x:c>
      <x:c r="F42" s="3" t="str">
        <x:v>1. Tavanı boz
2. Level yolunda 0,5 sn öncesi/eşit/sonrası giriş üret</x:v>
      </x:c>
      <x:c r="G42" s="3" t="str">
        <x:v>Level kararında süre dolmadan giriş yok; doğrudan header yolu R03 ile ayrıca incelenir.</x:v>
      </x:c>
      <x:c r="H42" s="7" t="str"/>
      <x:c r="I42" s="7" t="str"/>
      <x:c r="J42" s="7" t="str">
        <x:v>Test</x:v>
      </x:c>
      <x:c r="K42" s="3" t="str">
        <x:v>Yüksek</x:v>
      </x:c>
      <x:c r="L42" s="3" t="str">
        <x:v>P18; 100ms birim.</x:v>
      </x:c>
      <x:c r="M42" s="7" t="str"/>
    </x:row>
    <x:row r="43" ht="54" customHeight="1">
      <x:c r="A43" s="3" t="str">
        <x:v>TC-TVN-C05</x:v>
      </x:c>
      <x:c r="B43" s="7" t="str">
        <x:v>Test Edilmedi</x:v>
      </x:c>
      <x:c r="C43" s="3" t="str">
        <x:v>Geri giriş</x:v>
      </x:c>
      <x:c r="D43" s="3" t="str">
        <x:v>Kısmi DAY çıkışından restore</x:v>
      </x:c>
      <x:c r="E43" s="3" t="str">
        <x:v>RA; 10 lottan4 satılmış,6 lot satış bekliyor; tavan yeniden kilitleniyor.</x:v>
      </x:c>
      <x:c r="F43" s="3" t="str">
        <x:v>1. Tavanı yeniden oluştur
2. Satış cancel ve alış miktarını kaydet
3. ACK/fill sonrasında balanceı izle</x:v>
      </x:c>
      <x:c r="G43" s="3" t="str">
        <x:v>Kalan satış iptaliyle hedef−balance kadar alış denenir; cancel ACK beklenmeden alış çıkabilir; sonra top-up sınanır.</x:v>
      </x:c>
      <x:c r="H43" s="7" t="str"/>
      <x:c r="I43" s="7" t="str"/>
      <x:c r="J43" s="7" t="str">
        <x:v>Test</x:v>
      </x:c>
      <x:c r="K43" s="3" t="str">
        <x:v>Yüksek</x:v>
      </x:c>
      <x:c r="L43" s="3" t="str">
        <x:v>R09; eşzamanlı fill yarışını izle.</x:v>
      </x:c>
      <x:c r="M43" s="7" t="str"/>
    </x:row>
    <x:row r="44" ht="54" customHeight="1">
      <x:c r="A44" s="3" t="str">
        <x:v>TC-TVN-C06</x:v>
      </x:c>
      <x:c r="B44" s="7" t="str">
        <x:v>Test Edilmedi</x:v>
      </x:c>
      <x:c r="C44" s="3" t="str">
        <x:v>Geri giriş</x:v>
      </x:c>
      <x:c r="D44" s="3" t="str">
        <x:v>Kısmi KIE çıkışından restore</x:v>
      </x:c>
      <x:c r="E44" s="3" t="str">
        <x:v>B07 tamam;6 lot balance, pasif emir yok; tavan yeniden kilitleniyor.</x:v>
      </x:c>
      <x:c r="F44" s="3" t="str">
        <x:v>1. Yeni giriş tetiği üret
2. Alış miktarı ve nihai balanceı kaydet</x:v>
      </x:c>
      <x:c r="G44" s="3" t="str">
        <x:v>KIE kalan pozisyonu restore yolunda hedefe tamamlanabilir; ikinci tam10 lot girişi olarak yorumlanmaz.</x:v>
      </x:c>
      <x:c r="H44" s="7" t="str"/>
      <x:c r="I44" s="7" t="str"/>
      <x:c r="J44" s="7" t="str">
        <x:v>Test</x:v>
      </x:c>
      <x:c r="K44" s="3" t="str">
        <x:v>Yüksek</x:v>
      </x:c>
      <x:c r="L44" s="3" t="str">
        <x:v>R09; olumlu bakiye istisnası.</x:v>
      </x:c>
      <x:c r="M44" s="7" t="str"/>
    </x:row>
    <x:row r="45" ht="54" customHeight="1">
      <x:c r="A45" s="3" t="str">
        <x:v>TC-TVN-C07</x:v>
      </x:c>
      <x:c r="B45" s="7" t="str">
        <x:v>Test Edilmedi</x:v>
      </x:c>
      <x:c r="C45" s="3" t="str">
        <x:v>Geri giriş</x:v>
      </x:c>
      <x:c r="D45" s="3" t="str">
        <x:v>Pending niyetin 2ms ömrü</x:v>
      </x:c>
      <x:c r="E45" s="3" t="str">
        <x:v>RA; önceki emir ailesi/pozisyon henüz yerleşmemiş.</x:v>
      </x:c>
      <x:c r="F45" s="3" t="str">
        <x:v>1. Yeni kilitlenme tetiği üret
2. Callbackleri 2ms içi ve dışı geciktir
3. Tavan bozularak tekrarla</x:v>
      </x:c>
      <x:c r="G45" s="3" t="str">
        <x:v>Yalnız uygun callback geldiğinde niyet tüketilir; TTL aşımı veya kilit bozulması niyeti siler. Otomatik retry timerı yok.</x:v>
      </x:c>
      <x:c r="H45" s="7" t="str"/>
      <x:c r="I45" s="7" t="str"/>
      <x:c r="J45" s="7" t="str">
        <x:v>Test</x:v>
      </x:c>
      <x:c r="K45" s="3" t="str">
        <x:v>Yüksek</x:v>
      </x:c>
      <x:c r="L45" s="3" t="str">
        <x:v>R08; replay/harness gerekir.</x:v>
      </x:c>
      <x:c r="M45" s="7" t="str"/>
    </x:row>
    <x:row r="46" ht="54" customHeight="1">
      <x:c r="A46" s="3" t="str">
        <x:v>TC-TVN-C08</x:v>
      </x:c>
      <x:c r="B46" s="7" t="str">
        <x:v>Test Edilmedi</x:v>
      </x:c>
      <x:c r="C46" s="3" t="str">
        <x:v>Geri giriş</x:v>
      </x:c>
      <x:c r="D46" s="3" t="str">
        <x:v>Restore sırasında durdurma</x:v>
      </x:c>
      <x:c r="E46" s="3" t="str">
        <x:v>C05 akışı, top-up henüz tamamlanmadı.</x:v>
      </x:c>
      <x:c r="F46" s="3" t="str">
        <x:v>1. Stratejiyi durdur
2. Gecikmiş accept/cancel/fillleri ver
3. Yeni alışları izle</x:v>
      </x:c>
      <x:c r="G46" s="3" t="str">
        <x:v>Stop sonrasında top-up yeni alış üretmemeli; mevcut emir/filller muhasebede görünür.</x:v>
      </x:c>
      <x:c r="H46" s="7" t="str"/>
      <x:c r="I46" s="7" t="str"/>
      <x:c r="J46" s="7" t="str">
        <x:v>Test</x:v>
      </x:c>
      <x:c r="K46" s="3" t="str">
        <x:v>Yüksek</x:v>
      </x:c>
      <x:c r="L46" s="3" t="str">
        <x:v>R09/R10; durdurma iptal değildir.</x:v>
      </x:c>
      <x:c r="M46" s="7" t="str"/>
    </x:row>
    <x:row r="47" ht="54" customHeight="1">
      <x:c r="A47" s="3" t="str">
        <x:v>TC-TVN-D01</x:v>
      </x:c>
      <x:c r="B47" s="7" t="str">
        <x:v>Test Edilmedi</x:v>
      </x:c>
      <x:c r="C47" s="3" t="str">
        <x:v>Tolerans</x:v>
      </x:c>
      <x:c r="D47" s="3" t="str">
        <x:v>Pozitif toleransla döngü sınırı</x:v>
      </x:c>
      <x:c r="E47" s="3" t="str">
        <x:v>RA; tolerans3; Finish_With_Buy=false.</x:v>
      </x:c>
      <x:c r="F47" s="3" t="str">
        <x:v>1. Üç giriş/çıkış döngüsü oluştur
2. Sayaç ve Is_Running izle
3. Yeni tetik gönder</x:v>
      </x:c>
      <x:c r="G47" s="3" t="str">
        <x:v>Kapatma sayacı sınıra ulaştığında durur; giriş fill sayısı ile kapatma sayacı karıştırılmaz.</x:v>
      </x:c>
      <x:c r="H47" s="7" t="str"/>
      <x:c r="I47" s="7" t="str"/>
      <x:c r="J47" s="7" t="str">
        <x:v>Test</x:v>
      </x:c>
      <x:c r="K47" s="3" t="str">
        <x:v>Yüksek</x:v>
      </x:c>
      <x:c r="L47" s="3" t="str">
        <x:v>P19; sayaç stop ile sıfırlanmaz.</x:v>
      </x:c>
      <x:c r="M47" s="7" t="str"/>
    </x:row>
    <x:row r="48" ht="54" customHeight="1">
      <x:c r="A48" s="3" t="str">
        <x:v>TC-TVN-D02</x:v>
      </x:c>
      <x:c r="B48" s="7" t="str">
        <x:v>Test Edilmedi</x:v>
      </x:c>
      <x:c r="C48" s="3" t="str">
        <x:v>Tolerans</x:v>
      </x:c>
      <x:c r="D48" s="3" t="str">
        <x:v>Alışla bitir</x:v>
      </x:c>
      <x:c r="E48" s="3" t="str">
        <x:v>RA; tolerans2; Finish_With_Buy=true.</x:v>
      </x:c>
      <x:c r="F48" s="3" t="str">
        <x:v>1. Bir kapatmayı tamamla
2. Sonraki alış tetiğini ver
3. Emir ve running/pozisyon durumunu izle</x:v>
      </x:c>
      <x:c r="G48" s="3" t="str">
        <x:v>Son giriş gönderildikten sonra cancel/satış yapmadan durur; alışın mutlaka dolduğu varsayılmaz.</x:v>
      </x:c>
      <x:c r="H48" s="7" t="str"/>
      <x:c r="I48" s="7" t="str"/>
      <x:c r="J48" s="7" t="str">
        <x:v>Test</x:v>
      </x:c>
      <x:c r="K48" s="3" t="str">
        <x:v>Yüksek</x:v>
      </x:c>
      <x:c r="L48" s="3" t="str">
        <x:v>P20; R11 ret/kısmi kabul ayrıca.</x:v>
      </x:c>
      <x:c r="M48" s="7" t="str"/>
    </x:row>
    <x:row r="49" ht="54" customHeight="1">
      <x:c r="A49" s="3" t="str">
        <x:v>TC-TVN-D03</x:v>
      </x:c>
      <x:c r="B49" s="7" t="str">
        <x:v>Test Edilmedi</x:v>
      </x:c>
      <x:c r="C49" s="3" t="str">
        <x:v>Tolerans</x:v>
      </x:c>
      <x:c r="D49" s="3" t="str">
        <x:v>Alışla bitirdikten sonra devam</x:v>
      </x:c>
      <x:c r="E49" s="3" t="str">
        <x:v>D02 sonrası durmuş.</x:v>
      </x:c>
      <x:c r="F49" s="3" t="str">
        <x:v>1. Ayar değişmeden başlatmayı dene
2. Toleransı artırıp başlat
3. Ayrı denemede Finish_With_Buy kapat</x:v>
      </x:c>
      <x:c r="G49" s="3" t="str">
        <x:v>Aynı koşulla kapalı kalır; tolerans artışı veya alışla bitir kapatma ve start isteğiyle devam yolu açılır.</x:v>
      </x:c>
      <x:c r="H49" s="7" t="str"/>
      <x:c r="I49" s="7" t="str"/>
      <x:c r="J49" s="7" t="str">
        <x:v>Test</x:v>
      </x:c>
      <x:c r="K49" s="3" t="str">
        <x:v>Yüksek</x:v>
      </x:c>
      <x:c r="L49" s="3" t="str">
        <x:v>P20; canlı durum snapshotı esas.</x:v>
      </x:c>
      <x:c r="M49" s="7" t="str"/>
    </x:row>
    <x:row r="50" ht="54" customHeight="1">
      <x:c r="A50" s="3" t="str">
        <x:v>TC-TVN-D04</x:v>
      </x:c>
      <x:c r="B50" s="7" t="str">
        <x:v>Test Edilmedi</x:v>
      </x:c>
      <x:c r="C50" s="3" t="str">
        <x:v>Tolerans</x:v>
      </x:c>
      <x:c r="D50" s="3" t="str">
        <x:v>Durdur/başlatta sayaç</x:v>
      </x:c>
      <x:c r="E50" s="3" t="str">
        <x:v>RA; bir kapatma tamamlanmış.</x:v>
      </x:c>
      <x:c r="F50" s="3" t="str">
        <x:v>1. Sayacı kaydet
2. Stop/start yap
3. Sayacı tekrar oku</x:v>
      </x:c>
      <x:c r="G50" s="3" t="str">
        <x:v>Kaynakta stop sayacı sıfırlamaz; yeni süreç/strateji oluşturmakla karıştırılmaz.</x:v>
      </x:c>
      <x:c r="H50" s="7" t="str"/>
      <x:c r="I50" s="7" t="str"/>
      <x:c r="J50" s="7" t="str">
        <x:v>Test</x:v>
      </x:c>
      <x:c r="K50" s="3" t="str">
        <x:v>Yüksek</x:v>
      </x:c>
      <x:c r="L50" s="3" t="str">
        <x:v>P19/P35; ürün kararı gerekirse ayrı kaydet.</x:v>
      </x:c>
      <x:c r="M50" s="7" t="str"/>
    </x:row>
    <x:row r="51" ht="54" customHeight="1">
      <x:c r="A51" s="3" t="str">
        <x:v>TC-TVN-E01</x:v>
      </x:c>
      <x:c r="B51" s="7" t="str">
        <x:v>Test Edilmedi</x:v>
      </x:c>
      <x:c r="C51" s="3" t="str">
        <x:v>Süpürme</x:v>
      </x:c>
      <x:c r="D51" s="3" t="str">
        <x:v>Pozitif lotta süpürme</x:v>
      </x:c>
      <x:c r="E51" s="3" t="str">
        <x:v>RA; Should_Sweep=true; satış başı tavan altı, tüm satış toplamı eşik altı.</x:v>
      </x:c>
      <x:c r="F51" s="3" t="str">
        <x:v>1. SDK couldSweep/total verisini doğrula
2. Giriş tetik ve limit miktarını kaydet</x:v>
      </x:c>
      <x:c r="G51" s="3" t="str">
        <x:v>SDK süpür sinyaliyle tavan fiyatlı hedef TL alış denenir; tüm defterin mutlaka alınması garanti değil.</x:v>
      </x:c>
      <x:c r="H51" s="7" t="str"/>
      <x:c r="I51" s="7" t="str"/>
      <x:c r="J51" s="7" t="str">
        <x:v>Test</x:v>
      </x:c>
      <x:c r="K51" s="3" t="str">
        <x:v>Yüksek</x:v>
      </x:c>
      <x:c r="L51" s="3" t="str">
        <x:v>P21; eşik toplamı ile emir hedefi ayrı.</x:v>
      </x:c>
      <x:c r="M51" s="7" t="str"/>
    </x:row>
    <x:row r="52" ht="42" customHeight="1">
      <x:c r="A52" s="3" t="str">
        <x:v>TC-TVN-E02</x:v>
      </x:c>
      <x:c r="B52" s="7" t="str">
        <x:v>Test Edilmedi</x:v>
      </x:c>
      <x:c r="C52" s="3" t="str">
        <x:v>Süpürme</x:v>
      </x:c>
      <x:c r="D52" s="3" t="str">
        <x:v>Süpür koşulu yokken bekleme</x:v>
      </x:c>
      <x:c r="E52" s="3" t="str">
        <x:v>E01; toplam eşik üstü veya satış tarafı boş.</x:v>
      </x:c>
      <x:c r="F52" s="3" t="str">
        <x:v>1. Eşik üstü/boş veri üret
2. Diğer tetikleri kapalı tut</x:v>
      </x:c>
      <x:c r="G52" s="3" t="str">
        <x:v>Süpür yolu giriş üretmez; boş satış+tavan alış headerı ayrı kilitlenme tetiği olabilir.</x:v>
      </x:c>
      <x:c r="H52" s="7" t="str"/>
      <x:c r="I52" s="7" t="str"/>
      <x:c r="J52" s="7" t="str">
        <x:v>Test</x:v>
      </x:c>
      <x:c r="K52" s="3" t="str">
        <x:v>Yüksek</x:v>
      </x:c>
      <x:c r="L52" s="3" t="str">
        <x:v>P21; tetik nedeni loglanmalı.</x:v>
      </x:c>
      <x:c r="M52" s="7" t="str"/>
    </x:row>
    <x:row r="53" ht="42" customHeight="1">
      <x:c r="A53" s="3" t="str">
        <x:v>TC-TVN-E03</x:v>
      </x:c>
      <x:c r="B53" s="7" t="str">
        <x:v>Test Edilmedi</x:v>
      </x:c>
      <x:c r="C53" s="3" t="str">
        <x:v>Momentum</x:v>
      </x:c>
      <x:c r="D53" s="3" t="str">
        <x:v>Maksimum alışta giriş</x:v>
      </x:c>
      <x:c r="E53" s="3" t="str">
        <x:v>RA; max-size alış açık; eşik/arm mesafesi kayıtlı.</x:v>
      </x:c>
      <x:c r="F53" s="3" t="str">
        <x:v>1. Arm fiyatı altı ve üstünde agresif alış üret
2. Normal lot eşiği üstünde de tekrarla</x:v>
      </x:c>
      <x:c r="G53" s="3" t="str">
        <x:v>Arm koşulu ve SDK max-size sinyali sağlanırsa normal erime eşiği beklenmeden giriş denenir.</x:v>
      </x:c>
      <x:c r="H53" s="7" t="str"/>
      <x:c r="I53" s="7" t="str"/>
      <x:c r="J53" s="7" t="str">
        <x:v>Test</x:v>
      </x:c>
      <x:c r="K53" s="3" t="str">
        <x:v>Yüksek</x:v>
      </x:c>
      <x:c r="L53" s="3" t="str">
        <x:v>P22–P25; development özelliği.</x:v>
      </x:c>
      <x:c r="M53" s="7" t="str"/>
    </x:row>
    <x:row r="54" ht="54" customHeight="1">
      <x:c r="A54" s="3" t="str">
        <x:v>TC-TVN-E04</x:v>
      </x:c>
      <x:c r="B54" s="7" t="str">
        <x:v>Test Edilmedi</x:v>
      </x:c>
      <x:c r="C54" s="3" t="str">
        <x:v>Momentum</x:v>
      </x:c>
      <x:c r="D54" s="3" t="str">
        <x:v>Maksimum satışta kaçış</x:v>
      </x:c>
      <x:c r="E54" s="3" t="str">
        <x:v>RA; tavan durumu ve pozisyon açık; max-size satış açık.</x:v>
      </x:c>
      <x:c r="F54" s="3" t="str">
        <x:v>1. Tavandaki alışa agresif satış üret
2. Tavan dışı ve bayrak kapalıyla karşılaştır</x:v>
      </x:c>
      <x:c r="G54" s="3" t="str">
        <x:v>Tavandaki uygun max-size satış sert çıkış yoluna girer; normal grace ile öncelik R13 içinde teyit edilir.</x:v>
      </x:c>
      <x:c r="H54" s="7" t="str"/>
      <x:c r="I54" s="7" t="str"/>
      <x:c r="J54" s="7" t="str">
        <x:v>Test</x:v>
      </x:c>
      <x:c r="K54" s="3" t="str">
        <x:v>Yüksek</x:v>
      </x:c>
      <x:c r="L54" s="3" t="str">
        <x:v>P26–P28.</x:v>
      </x:c>
      <x:c r="M54" s="7" t="str"/>
    </x:row>
    <x:row r="55" ht="42" customHeight="1">
      <x:c r="A55" s="3" t="str">
        <x:v>TC-TVN-E05</x:v>
      </x:c>
      <x:c r="B55" s="7" t="str">
        <x:v>Test Edilmedi</x:v>
      </x:c>
      <x:c r="C55" s="3" t="str">
        <x:v>Momentum</x:v>
      </x:c>
      <x:c r="D55" s="3" t="str">
        <x:v>Mikrosaniye pencere dönüşümü</x:v>
      </x:c>
      <x:c r="E55" s="3" t="str">
        <x:v>RA; alış/satış delta1,250µs.</x:v>
      </x:c>
      <x:c r="F55" s="3" t="str">
        <x:v>1. Kaydet ve yeniden aç
2. Wire değerini ve SDK window push kaydını oku</x:v>
      </x:c>
      <x:c r="G55" s="3" t="str">
        <x:v>1,250µs →1250ns ve geri dönüş aynı;0 ayrı aynı timestamp gruplama değeridir.</x:v>
      </x:c>
      <x:c r="H55" s="7" t="str"/>
      <x:c r="I55" s="7" t="str"/>
      <x:c r="J55" s="7" t="str">
        <x:v>Test</x:v>
      </x:c>
      <x:c r="K55" s="3" t="str">
        <x:v>Yüksek</x:v>
      </x:c>
      <x:c r="L55" s="3" t="str">
        <x:v>P24/P28; Int taşma sınırı doğrulama.</x:v>
      </x:c>
      <x:c r="M55" s="7" t="str"/>
    </x:row>
    <x:row r="56" ht="54" customHeight="1">
      <x:c r="A56" s="3" t="str">
        <x:v>TC-TVN-E06</x:v>
      </x:c>
      <x:c r="B56" s="7" t="str">
        <x:v>Test Edilmedi</x:v>
      </x:c>
      <x:c r="C56" s="3" t="str">
        <x:v>Momentum</x:v>
      </x:c>
      <x:c r="D56" s="3" t="str">
        <x:v>Yüzde100 üzeri development eşiği</x:v>
      </x:c>
      <x:c r="E56" s="3" t="str">
        <x:v>İzole replay; maxOrderValue/decimal/tavan kayıtlı.</x:v>
      </x:c>
      <x:c r="F56" s="3" t="str">
        <x:v>1. Yüzde0,100,114 için threshold logunu karşılaştır
2. Master ile yalnız kaynak farkını not et</x:v>
      </x:c>
      <x:c r="G56" s="3" t="str">
        <x:v>Developmentta0 tamcap; pozitif yüzde ölçeklenir,114 daha büyük eşik üretir; cap−floor(cap/100) uygulanır.</x:v>
      </x:c>
      <x:c r="H56" s="7" t="str"/>
      <x:c r="I56" s="7" t="str"/>
      <x:c r="J56" s="7" t="str">
        <x:v>Test</x:v>
      </x:c>
      <x:c r="K56" s="3" t="str">
        <x:v>Yüksek</x:v>
      </x:c>
      <x:c r="L56" s="3" t="str">
        <x:v>P23/P27; master aynı sözleşme sayılmaz.</x:v>
      </x:c>
      <x:c r="M56" s="7" t="str"/>
    </x:row>
    <x:row r="57" ht="54" customHeight="1">
      <x:c r="A57" s="3" t="str">
        <x:v>TC-TVN-E07</x:v>
      </x:c>
      <x:c r="B57" s="7" t="str">
        <x:v>Test Edilmedi</x:v>
      </x:c>
      <x:c r="C57" s="3" t="str">
        <x:v>Momentum</x:v>
      </x:c>
      <x:c r="D57" s="3" t="str">
        <x:v>Eksik limit/gate güncelleme hatası</x:v>
      </x:c>
      <x:c r="E57" s="3" t="str">
        <x:v>Harness; maxOrderValue/decimal eksik veya SDK gate push reddi.</x:v>
      </x:c>
      <x:c r="F57" s="3" t="str">
        <x:v>1. Eksik değer üret
2. Window/arm push reddini ayrı simüle et</x:v>
      </x:c>
      <x:c r="G57" s="3" t="str">
        <x:v>Eksik limitte threshold0; alış gate hatasında threshold0 yapma denemesi loglanır. SDK son durumu ayrıca kontrol edilir.</x:v>
      </x:c>
      <x:c r="H57" s="7" t="str"/>
      <x:c r="I57" s="7" t="str"/>
      <x:c r="J57" s="7" t="str">
        <x:v>Test</x:v>
      </x:c>
      <x:c r="K57" s="3" t="str">
        <x:v>Yüksek</x:v>
      </x:c>
      <x:c r="L57" s="3" t="str">
        <x:v>R16; canlı sistemde hata enjeksiyonu yapılmaz.</x:v>
      </x:c>
      <x:c r="M57" s="7" t="str"/>
    </x:row>
    <x:row r="58" ht="42" customHeight="1">
      <x:c r="A58" s="3" t="str">
        <x:v>TC-TVN-F01</x:v>
      </x:c>
      <x:c r="B58" s="7" t="str">
        <x:v>Test Edilmedi</x:v>
      </x:c>
      <x:c r="C58" s="3" t="str">
        <x:v>Escape</x:v>
      </x:c>
      <x:c r="D58" s="3" t="str">
        <x:v>Yeterince eski örnek yok</x:v>
      </x:c>
      <x:c r="E58" s="3" t="str">
        <x:v>RA; Olağan Dışı açık, Escape_Time=10sn, Escape%=5.</x:v>
      </x:c>
      <x:c r="F58" s="3" t="str">
        <x:v>1. Başlat
2. İlk10sn içinde giriş tetiği üret</x:v>
      </x:c>
      <x:c r="G58" s="3" t="str">
        <x:v>Yeterince eski örnek yoksa giriş reddedilir; bekleme hata olarak sayılmaz.</x:v>
      </x:c>
      <x:c r="H58" s="7" t="str"/>
      <x:c r="I58" s="7" t="str"/>
      <x:c r="J58" s="7" t="str">
        <x:v>Test</x:v>
      </x:c>
      <x:c r="K58" s="3" t="str">
        <x:v>Yüksek</x:v>
      </x:c>
      <x:c r="L58" s="3" t="str">
        <x:v>P29/P30; fail-closed.</x:v>
      </x:c>
      <x:c r="M58" s="7" t="str"/>
    </x:row>
    <x:row r="59" ht="54" customHeight="1">
      <x:c r="A59" s="3" t="str">
        <x:v>TC-TVN-F02</x:v>
      </x:c>
      <x:c r="B59" s="7" t="str">
        <x:v>Test Edilmedi</x:v>
      </x:c>
      <x:c r="C59" s="3" t="str">
        <x:v>Escape</x:v>
      </x:c>
      <x:c r="D59" s="3" t="str">
        <x:v>Eski fiyat eşik karşılaştırması</x:v>
      </x:c>
      <x:c r="E59" s="3" t="str">
        <x:v>F01; tavan20TL, %5 eşik19TL.</x:v>
      </x:c>
      <x:c r="F59" s="3" t="str">
        <x:v>1. Eski örneği18,90;19,00;19,10 yaparak ayrı replay çalıştır
2. Giriş nedenini karşılaştır</x:v>
      </x:c>
      <x:c r="G59" s="3" t="str">
        <x:v>Eşik altı eski fiyat girişi engeller; eşit/üstü yalnız bu filtreyi geçirir, diğer şartlar geçerli kalır.</x:v>
      </x:c>
      <x:c r="H59" s="7" t="str"/>
      <x:c r="I59" s="7" t="str"/>
      <x:c r="J59" s="7" t="str">
        <x:v>Test</x:v>
      </x:c>
      <x:c r="K59" s="3" t="str">
        <x:v>Yüksek</x:v>
      </x:c>
      <x:c r="L59" s="3" t="str">
        <x:v>P30; wire500 = %5.</x:v>
      </x:c>
      <x:c r="M59" s="7" t="str"/>
    </x:row>
    <x:row r="60" ht="54" customHeight="1">
      <x:c r="A60" s="3" t="str">
        <x:v>TC-TVN-F03</x:v>
      </x:c>
      <x:c r="B60" s="7" t="str">
        <x:v>Test Edilmedi</x:v>
      </x:c>
      <x:c r="C60" s="3" t="str">
        <x:v>Escape</x:v>
      </x:c>
      <x:c r="D60" s="3" t="str">
        <x:v>Filtre kapatma ve süre değişimi</x:v>
      </x:c>
      <x:c r="E60" s="3" t="str">
        <x:v>Escape örnek geçmişi oluşmuş.</x:v>
      </x:c>
      <x:c r="F60" s="3" t="str">
        <x:v>1. Kutuyu kapat
2. Tekrar açıp süreyi artır
3. İlgisiz ayarı değiştir</x:v>
      </x:c>
      <x:c r="G60" s="3" t="str">
        <x:v>Kapalıysa Escape_Time=0; süre artışı/yeniden başlatma örnekleri sıfırlar; ilgisiz ayar her seferinde geçmişi silmez.</x:v>
      </x:c>
      <x:c r="H60" s="7" t="str"/>
      <x:c r="I60" s="7" t="str"/>
      <x:c r="J60" s="7" t="str">
        <x:v>Test</x:v>
      </x:c>
      <x:c r="K60" s="3" t="str">
        <x:v>Yüksek</x:v>
      </x:c>
      <x:c r="L60" s="3" t="str">
        <x:v>P29; cold geçişi F04.</x:v>
      </x:c>
      <x:c r="M60" s="7" t="str"/>
    </x:row>
    <x:row r="61" ht="54" customHeight="1">
      <x:c r="A61" s="3" t="str">
        <x:v>TC-TVN-F04</x:v>
      </x:c>
      <x:c r="B61" s="7" t="str">
        <x:v>Test Edilmedi</x:v>
      </x:c>
      <x:c r="C61" s="3" t="str">
        <x:v>Tiering</x:v>
      </x:c>
      <x:c r="D61" s="3" t="str">
        <x:v>Hot/cold geçişi</x:v>
      </x:c>
      <x:c r="E61" s="3" t="str">
        <x:v>Test config hotWorkerCount&gt;0; promote/demote/cooldown kayıtlı.</x:v>
      </x:c>
      <x:c r="F61" s="3" t="str">
        <x:v>1. Fiyatı promote üstüne çıkar
2. Demote altına indir
3. Cooldown sonrası geri getir</x:v>
      </x:c>
      <x:c r="G61" s="3" t="str">
        <x:v>Callback ve worker tieri geçişe uyar; cold geçişinde development escape geçmişi sıfırlanır.</x:v>
      </x:c>
      <x:c r="H61" s="7" t="str"/>
      <x:c r="I61" s="7" t="str"/>
      <x:c r="J61" s="7" t="str">
        <x:v>Test</x:v>
      </x:c>
      <x:c r="K61" s="3" t="str">
        <x:v>Yüksek</x:v>
      </x:c>
      <x:c r="L61" s="3" t="str">
        <x:v>P34; config gerektirir, standart manuel testte Bloke olabilir.</x:v>
      </x:c>
      <x:c r="M61" s="7" t="str"/>
    </x:row>
    <x:row r="62" ht="54" customHeight="1">
      <x:c r="A62" s="3" t="str">
        <x:v>TC-TVN-U01</x:v>
      </x:c>
      <x:c r="B62" s="7" t="str">
        <x:v>Test Edilmedi</x:v>
      </x:c>
      <x:c r="C62" s="3" t="str">
        <x:v>Arayüz</x:v>
      </x:c>
      <x:c r="D62" s="3" t="str">
        <x:v>Tekli ekleme ve kalıcılık</x:v>
      </x:c>
      <x:c r="E62" s="3" t="str">
        <x:v>G01–G05 hazır.</x:v>
      </x:c>
      <x:c r="F62" s="3" t="str">
        <x:v>1. Hesap/hisse/3 karakter ID ile ekle
2. Paneli yenile
3. Aynı kimlikle tekrar eklemeyi dene</x:v>
      </x:c>
      <x:c r="G62" s="3" t="str">
        <x:v>Doğru kimlikte satır/abonelik kalır; mükerrer sonuç ve uyarı kaydedilir.</x:v>
      </x:c>
      <x:c r="H62" s="7" t="str"/>
      <x:c r="I62" s="7" t="str"/>
      <x:c r="J62" s="7" t="str">
        <x:v>Test</x:v>
      </x:c>
      <x:c r="K62" s="3" t="str">
        <x:v>Yüksek</x:v>
      </x:c>
      <x:c r="L62" s="3" t="str">
        <x:v>P01; gerçek gözlem olmadan hata yazılmaz.</x:v>
      </x:c>
      <x:c r="M62" s="7" t="str"/>
    </x:row>
    <x:row r="63" ht="54" customHeight="1">
      <x:c r="A63" s="3" t="str">
        <x:v>TC-TVN-U02</x:v>
      </x:c>
      <x:c r="B63" s="7" t="str">
        <x:v>Test Edilmedi</x:v>
      </x:c>
      <x:c r="C63" s="3" t="str">
        <x:v>Arayüz</x:v>
      </x:c>
      <x:c r="D63" s="3" t="str">
        <x:v>Toplu endeks ekleme</x:v>
      </x:c>
      <x:c r="E63" s="3" t="str">
        <x:v>Test endeksi ve panel mevcut.</x:v>
      </x:c>
      <x:c r="F63" s="3" t="str">
        <x:v>1. Endeksten toplu ekle
2. Başarılı/başarısız sayısını kaydet
3. Yenile</x:v>
      </x:c>
      <x:c r="G63" s="3" t="str">
        <x:v>Panel, abonelik ve sunucu sonuçları eşleşir; timeout sonrası sunucuda kalan abonelik ayrıca kontrol edilir.</x:v>
      </x:c>
      <x:c r="H63" s="7" t="str"/>
      <x:c r="I63" s="7" t="str"/>
      <x:c r="J63" s="7" t="str">
        <x:v>Test</x:v>
      </x:c>
      <x:c r="K63" s="3" t="str">
        <x:v>Yüksek</x:v>
      </x:c>
      <x:c r="L63" s="3" t="str">
        <x:v>Panel kaydı başarıdan ayrı kanıt.</x:v>
      </x:c>
      <x:c r="M63" s="7" t="str"/>
    </x:row>
    <x:row r="64" ht="42" customHeight="1">
      <x:c r="A64" s="3" t="str">
        <x:v>TC-TVN-U03</x:v>
      </x:c>
      <x:c r="B64" s="7" t="str">
        <x:v>Test Edilmedi</x:v>
      </x:c>
      <x:c r="C64" s="3" t="str">
        <x:v>Arayüz</x:v>
      </x:c>
      <x:c r="D64" s="3" t="str">
        <x:v>Ayarı yüklenmemiş satırı başlatma</x:v>
      </x:c>
      <x:c r="E64" s="3" t="str">
        <x:v>Snapshot henüz yok.</x:v>
      </x:c>
      <x:c r="F64" s="3" t="str">
        <x:v>1. Tekli başlat
2. Yüklü/yüksüz karışık seçip toplu başlat</x:v>
      </x:c>
      <x:c r="G64" s="3" t="str">
        <x:v>Teklide komut gönderilmez ve uyarı gelir; topluda yüksüzler atlanır, yüklüler işlenir.</x:v>
      </x:c>
      <x:c r="H64" s="7" t="str"/>
      <x:c r="I64" s="7" t="str"/>
      <x:c r="J64" s="7" t="str">
        <x:v>Test</x:v>
      </x:c>
      <x:c r="K64" s="3" t="str">
        <x:v>Yüksek</x:v>
      </x:c>
      <x:c r="L64" s="3" t="str">
        <x:v>HFT ayarsız varsayılan başlatma davranışı taşınmaz.</x:v>
      </x:c>
      <x:c r="M64" s="7" t="str"/>
    </x:row>
    <x:row r="65" ht="54" customHeight="1">
      <x:c r="A65" s="3" t="str">
        <x:v>TC-TVN-U04</x:v>
      </x:c>
      <x:c r="B65" s="7" t="str">
        <x:v>Test Edilmedi</x:v>
      </x:c>
      <x:c r="C65" s="3" t="str">
        <x:v>Arayüz</x:v>
      </x:c>
      <x:c r="D65" s="3" t="str">
        <x:v>Toplu başlat/durdur</x:v>
      </x:c>
      <x:c r="E65" s="3" t="str">
        <x:v>Yüklü çalışan/durmuş karışık satırlar.</x:v>
      </x:c>
      <x:c r="F65" s="3" t="str">
        <x:v>1. Karışık seçimle düğmeye bas
2. Hepsi çalışırken tekrar bas
3. Bir API hatasıyla tekrarla</x:v>
      </x:c>
      <x:c r="G65" s="3" t="str">
        <x:v>En az biri durmuşsa yüklü seçilenler başlatılır; tümü çalışıyorsa durdurulur; hata gösterilir.</x:v>
      </x:c>
      <x:c r="H65" s="7" t="str"/>
      <x:c r="I65" s="7" t="str"/>
      <x:c r="J65" s="7" t="str">
        <x:v>Test</x:v>
      </x:c>
      <x:c r="K65" s="3" t="str">
        <x:v>Yüksek</x:v>
      </x:c>
      <x:c r="L65" s="3" t="str">
        <x:v>P06; canlı state öncelikli.</x:v>
      </x:c>
      <x:c r="M65" s="7" t="str"/>
    </x:row>
    <x:row r="66" ht="54" customHeight="1">
      <x:c r="A66" s="3" t="str">
        <x:v>TC-TVN-U05</x:v>
      </x:c>
      <x:c r="B66" s="7" t="str">
        <x:v>Test Edilmedi</x:v>
      </x:c>
      <x:c r="C66" s="3" t="str">
        <x:v>Arayüz</x:v>
      </x:c>
      <x:c r="D66" s="3" t="str">
        <x:v>Tekli kayıtta çalışma durumunu koruma</x:v>
      </x:c>
      <x:c r="E66" s="3" t="str">
        <x:v>Canlı state çalışıyor; eski settings snapshot durmuş gösteriyor.</x:v>
      </x:c>
      <x:c r="F66" s="3" t="str">
        <x:v>1. Modalda bir eşik değiştir
2. Wire Strategy_Start ve canlı durumu izle</x:v>
      </x:c>
      <x:c r="G66" s="3" t="str">
        <x:v>Açık start update yoksa canlı MaxPriceState esas alınır; bayat snapshot stratejiyi istemeden durdurmamalı.</x:v>
      </x:c>
      <x:c r="H66" s="7" t="str"/>
      <x:c r="I66" s="7" t="str"/>
      <x:c r="J66" s="7" t="str">
        <x:v>Test</x:v>
      </x:c>
      <x:c r="K66" s="3" t="str">
        <x:v>Yüksek</x:v>
      </x:c>
      <x:c r="L66" s="3" t="str">
        <x:v>P06; ters durum da test edilir.</x:v>
      </x:c>
      <x:c r="M66" s="7" t="str"/>
    </x:row>
    <x:row r="67" ht="54" customHeight="1">
      <x:c r="A67" s="3" t="str">
        <x:v>TC-TVN-U06</x:v>
      </x:c>
      <x:c r="B67" s="7" t="str">
        <x:v>Test Edilmedi</x:v>
      </x:c>
      <x:c r="C67" s="3" t="str">
        <x:v>Arayüz</x:v>
      </x:c>
      <x:c r="D67" s="3" t="str">
        <x:v>Toplu ayar ve seçilmemiş alanlar</x:v>
      </x:c>
      <x:c r="E67" s="3" t="str">
        <x:v>Farklı değerli üç satır; en az biri çalışıyor.</x:v>
      </x:c>
      <x:c r="F67" s="3" t="str">
        <x:v>1. Tek alanı değiştir
2. Dokunulmayanları koru ile kaydet
3. Ayrı denemede tümünü yaz seç</x:v>
      </x:c>
      <x:c r="G67" s="3" t="str">
        <x:v>Onay sonrası başarılı satırlar güncellenir ve durdurulur; koruma modunda diğer değerler kalır; Önce Kapat topluca değişmez.</x:v>
      </x:c>
      <x:c r="H67" s="7" t="str"/>
      <x:c r="I67" s="7" t="str"/>
      <x:c r="J67" s="7" t="str">
        <x:v>Test</x:v>
      </x:c>
      <x:c r="K67" s="3" t="str">
        <x:v>Yüksek</x:v>
      </x:c>
      <x:c r="L67" s="3" t="str">
        <x:v>P31; toplu kayıt stop davranışı kasıtlı kaynak sözleşmesi.</x:v>
      </x:c>
      <x:c r="M67" s="7" t="str"/>
    </x:row>
    <x:row r="68" ht="54" customHeight="1">
      <x:c r="A68" s="3" t="str">
        <x:v>TC-TVN-U07</x:v>
      </x:c>
      <x:c r="B68" s="7" t="str">
        <x:v>Test Edilmedi</x:v>
      </x:c>
      <x:c r="C68" s="3" t="str">
        <x:v>Arayüz</x:v>
      </x:c>
      <x:c r="D68" s="3" t="str">
        <x:v>Toplu kayıtta kısmi hata</x:v>
      </x:c>
      <x:c r="E68" s="3" t="str">
        <x:v>U06; bir satır için API hatası.</x:v>
      </x:c>
      <x:c r="F68" s="3" t="str">
        <x:v>1. Kaydet
2. Başarılı/başarısız satırları ve bildirimleri karşılaştır</x:v>
      </x:c>
      <x:c r="G68" s="3" t="str">
        <x:v>Başarılılar durur; başarısızlar ve neden görünür, modal tekrar denemeye açık kalır.</x:v>
      </x:c>
      <x:c r="H68" s="7" t="str"/>
      <x:c r="I68" s="7" t="str"/>
      <x:c r="J68" s="7" t="str">
        <x:v>Test</x:v>
      </x:c>
      <x:c r="K68" s="3" t="str">
        <x:v>Yüksek</x:v>
      </x:c>
      <x:c r="L68" s="3" t="str">
        <x:v>Başarı bildirimi bütün satırların başarılı olduğu anlamına gelmemeli.</x:v>
      </x:c>
      <x:c r="M68" s="7" t="str"/>
    </x:row>
    <x:row r="69" ht="54" customHeight="1">
      <x:c r="A69" s="3" t="str">
        <x:v>TC-TVN-U08</x:v>
      </x:c>
      <x:c r="B69" s="7" t="str">
        <x:v>Test Edilmedi</x:v>
      </x:c>
      <x:c r="C69" s="3" t="str">
        <x:v>Arayüz</x:v>
      </x:c>
      <x:c r="D69" s="3" t="str">
        <x:v>Çalışan satırı silme</x:v>
      </x:c>
      <x:c r="E69" s="3" t="str">
        <x:v>Snapshot yüklü çalışan test satırı.</x:v>
      </x:c>
      <x:c r="F69" s="3" t="str">
        <x:v>1. Sil ve onayla
2. Stop yanıtını sonra panel kaydını izle
3. Stop hatasıyla tekrarla</x:v>
      </x:c>
      <x:c r="G69" s="3" t="str">
        <x:v>Önce stop; başarılıysa panel kaydı/silme. Stop hatasında satır korunur. Stop bekleyen emri otomatik iptal etmez.</x:v>
      </x:c>
      <x:c r="H69" s="7" t="str"/>
      <x:c r="I69" s="7" t="str"/>
      <x:c r="J69" s="7" t="str">
        <x:v>Test</x:v>
      </x:c>
      <x:c r="K69" s="3" t="str">
        <x:v>Yüksek</x:v>
      </x:c>
      <x:c r="L69" s="3" t="str">
        <x:v>R10; HFT R16 davranışı taşınmaz.</x:v>
      </x:c>
      <x:c r="M69" s="7" t="str"/>
    </x:row>
    <x:row r="70" ht="54" customHeight="1">
      <x:c r="A70" s="3" t="str">
        <x:v>TC-TVN-U09</x:v>
      </x:c>
      <x:c r="B70" s="7" t="str">
        <x:v>Test Edilmedi</x:v>
      </x:c>
      <x:c r="C70" s="3" t="str">
        <x:v>Arayüz</x:v>
      </x:c>
      <x:c r="D70" s="3" t="str">
        <x:v>Sayısal doğrulama ve mod geçişi</x:v>
      </x:c>
      <x:c r="E70" s="3" t="str">
        <x:v>Modal açık; işlem yapılmıyor.</x:v>
      </x:c>
      <x:c r="F70" s="3" t="str">
        <x:v>1. Zorunlu alanları boş/0/negatif dene
2. Lot↔yüzde ve tek↔aktif fiyat değiştir
3. Payloadı kaydet</x:v>
      </x:c>
      <x:c r="G70" s="3" t="str">
        <x:v>Etkin zorunlu alanlar doğrulanır; karşı mod alanları0 olur. Sweep yüzde modunda false; tolerans kapalı0 konusu R01.</x:v>
      </x:c>
      <x:c r="H70" s="7" t="str"/>
      <x:c r="I70" s="7" t="str"/>
      <x:c r="J70" s="7" t="str">
        <x:v>Test</x:v>
      </x:c>
      <x:c r="K70" s="3" t="str">
        <x:v>Yüksek</x:v>
      </x:c>
      <x:c r="L70" s="3" t="str">
        <x:v>P02/P03/P11–P13/P21; schema ve wire ayrı.</x:v>
      </x:c>
      <x:c r="M70" s="7" t="str"/>
    </x:row>
    <x:row r="71" ht="54" customHeight="1">
      <x:c r="A71" s="3" t="str">
        <x:v>TC-TVN-U10</x:v>
      </x:c>
      <x:c r="B71" s="7" t="str">
        <x:v>Test Edilmedi</x:v>
      </x:c>
      <x:c r="C71" s="3" t="str">
        <x:v>Arayüz</x:v>
      </x:c>
      <x:c r="D71" s="3" t="str">
        <x:v>Saat alias ve yeniden açma</x:v>
      </x:c>
      <x:c r="E71" s="3" t="str">
        <x:v>Geçerli saat kaydı; Stop_Time/End_Time varyantları.</x:v>
      </x:c>
      <x:c r="F71" s="3" t="str">
        <x:v>1.10:15–17:45 kaydet
2. Yenile/modalı aç
3. İki alias farklı gelirse karşılaştır</x:v>
      </x:c>
      <x:c r="G71" s="3" t="str">
        <x:v>Geçerli saatler geri okunur; form Stop_Time önceliği ile payload End_Time önceliği farklıdır, çakışma R17.</x:v>
      </x:c>
      <x:c r="H71" s="7" t="str"/>
      <x:c r="I71" s="7" t="str"/>
      <x:c r="J71" s="7" t="str">
        <x:v>Test</x:v>
      </x:c>
      <x:c r="K71" s="3" t="str">
        <x:v>Yüksek</x:v>
      </x:c>
      <x:c r="L71" s="3" t="str">
        <x:v>P07/P08; default600/1200 R02.</x:v>
      </x:c>
      <x:c r="M71" s="7" t="str"/>
    </x:row>
    <x:row r="72" ht="54" customHeight="1">
      <x:c r="A72" s="3" t="str">
        <x:v>TC-TVN-U11</x:v>
      </x:c>
      <x:c r="B72" s="7" t="str">
        <x:v>Test Edilmedi</x:v>
      </x:c>
      <x:c r="C72" s="3" t="str">
        <x:v>Arayüz</x:v>
      </x:c>
      <x:c r="D72" s="3" t="str">
        <x:v>Durum renkleri ve canlı sayaç</x:v>
      </x:c>
      <x:c r="E72" s="3" t="str">
        <x:v>Çalışan, tavanda, pozisyonlu, pasif alışlı/satışlı durumlar.</x:v>
      </x:c>
      <x:c r="F72" s="3" t="str">
        <x:v>1. State mesajlarını tek tek karşılaştır
2. Stratejiyi durdur
3. Panel sıralama/renklerini izle</x:v>
      </x:c>
      <x:c r="G72" s="3" t="str">
        <x:v>Çalışırken satış kırmızı, tavanda alış mavi, pozisyon turuncu; stopped satırın vurgusu kalkar. Sayaç/pozisyon wirela eşleşir.</x:v>
      </x:c>
      <x:c r="H72" s="7" t="str"/>
      <x:c r="I72" s="7" t="str"/>
      <x:c r="J72" s="7" t="str">
        <x:v>Test</x:v>
      </x:c>
      <x:c r="K72" s="3" t="str">
        <x:v>Yüksek</x:v>
      </x:c>
      <x:c r="L72" s="3" t="str">
        <x:v>P35; motor Has_Passive_Sell_Order gönderir; eski K-165 taşınmaz.</x:v>
      </x:c>
      <x:c r="M72" s="7" t="str"/>
    </x:row>
    <x:row r="73" ht="68" customHeight="1">
      <x:c r="A73" s="3" t="str">
        <x:v>TC-TVN-U12</x:v>
      </x:c>
      <x:c r="B73" s="7" t="str">
        <x:v>Test Edilmedi</x:v>
      </x:c>
      <x:c r="C73" s="3" t="str">
        <x:v>Arayüz</x:v>
      </x:c>
      <x:c r="D73" s="3" t="str">
        <x:v>Pozisyon ekleme ve emir geçmişi</x:v>
      </x:c>
      <x:c r="E73" s="3" t="str">
        <x:v>İzole hesap; başlangıç balance kayıtlı.</x:v>
      </x:c>
      <x:c r="F73" s="3" t="str">
        <x:v>1. Kontrollü pozisyon ekle
2. Balance/maliyet değişimini izle
3. Canlı kabul/fill/cancel ve yenilemeyi kontrol et</x:v>
      </x:c>
      <x:c r="G73" s="3" t="str">
        <x:v>Doğru stratejiye pozisyon/olay yansır; replace geçmişinin yenilemede yüklenmemesi ürün kararıdır.</x:v>
      </x:c>
      <x:c r="H73" s="7" t="str"/>
      <x:c r="I73" s="7" t="str"/>
      <x:c r="J73" s="7" t="str">
        <x:v>Test</x:v>
      </x:c>
      <x:c r="K73" s="3" t="str">
        <x:v>Yüksek</x:v>
      </x:c>
      <x:c r="L73" s="3" t="str">
        <x:v>P32; manuel pozisyon kaydı gerçek borsa filli sayılmaz.</x:v>
      </x:c>
      <x:c r="M73" s="7" t="str"/>
    </x:row>
    <x:row r="74" ht="54" customHeight="1">
      <x:c r="A74" s="3" t="str">
        <x:v>TC-TVN-O01</x:v>
      </x:c>
      <x:c r="B74" s="7" t="str">
        <x:v>Test Edilmedi</x:v>
      </x:c>
      <x:c r="C74" s="3" t="str">
        <x:v>Operasyon</x:v>
      </x:c>
      <x:c r="D74" s="3" t="str">
        <x:v>SDK ve yedek emir yolu</x:v>
      </x:c>
      <x:c r="E74" s="3" t="str">
        <x:v>Aynı testte iki yolun koşulları kontrollü.</x:v>
      </x:c>
      <x:c r="F74" s="3" t="str">
        <x:v>1. ownsAccount true/false koşullarını ayrı çalıştır
2. Accept/cancel/fill/ref zincirini izle</x:v>
      </x:c>
      <x:c r="G74" s="3" t="str">
        <x:v>Emir yalnız ilgili yolda izlenir; yedek yolun limitleri ve gecikmesi ayrıca kaydedilir.</x:v>
      </x:c>
      <x:c r="H74" s="7" t="str"/>
      <x:c r="I74" s="7" t="str"/>
      <x:c r="J74" s="7" t="str">
        <x:v>Test</x:v>
      </x:c>
      <x:c r="K74" s="3" t="str">
        <x:v>Yüksek</x:v>
      </x:c>
      <x:c r="L74" s="3" t="str">
        <x:v>R18; canlı handoff kesme yapılmaz.</x:v>
      </x:c>
      <x:c r="M74" s="7" t="str"/>
    </x:row>
    <x:row r="75" ht="54" customHeight="1">
      <x:c r="A75" s="3" t="str">
        <x:v>TC-TVN-O02</x:v>
      </x:c>
      <x:c r="B75" s="7" t="str">
        <x:v>Test Edilmedi</x:v>
      </x:c>
      <x:c r="C75" s="3" t="str">
        <x:v>Operasyon</x:v>
      </x:c>
      <x:c r="D75" s="3" t="str">
        <x:v>Parçalı kabul ve ret</x:v>
      </x:c>
      <x:c r="E75" s="3" t="str">
        <x:v>Harness; hedef birkaç child emre bölünüyor.</x:v>
      </x:c>
      <x:c r="F75" s="3" t="str">
        <x:v>1. Accept/ret sırasını değiştir
2. Eksik/fazla miktar ve yabancı father-ref dene</x:v>
      </x:c>
      <x:c r="G75" s="3" t="str">
        <x:v>Aile kabul/ret miktarı yerleşmeden kapatma gönderimi kapılanır; sayaç ve açık emir tutarlılığı R19 ile incelenir.</x:v>
      </x:c>
      <x:c r="H75" s="7" t="str"/>
      <x:c r="I75" s="7" t="str"/>
      <x:c r="J75" s="7" t="str">
        <x:v>Test</x:v>
      </x:c>
      <x:c r="K75" s="3" t="str">
        <x:v>Yüksek</x:v>
      </x:c>
      <x:c r="L75" s="3" t="str">
        <x:v>R19; yüksek lot canlı emir gerektirmez.</x:v>
      </x:c>
      <x:c r="M75" s="7" t="str"/>
    </x:row>
    <x:row r="76" ht="42" customHeight="1">
      <x:c r="A76" s="3" t="str">
        <x:v>TC-TVN-O03</x:v>
      </x:c>
      <x:c r="B76" s="7" t="str">
        <x:v>Test Edilmedi</x:v>
      </x:c>
      <x:c r="C76" s="3" t="str">
        <x:v>Operasyon</x:v>
      </x:c>
      <x:c r="D76" s="3" t="str">
        <x:v>PTRM ve normal ret</x:v>
      </x:c>
      <x:c r="E76" s="3" t="str">
        <x:v>Test risk konfigürasyonu / sahte ret.</x:v>
      </x:c>
      <x:c r="F76" s="3" t="str">
        <x:v>1. Giriş/çıkış için ret üret
2. father-ref, pending ve running izle</x:v>
      </x:c>
      <x:c r="G76" s="3" t="str">
        <x:v>Ret kaydı ve aile muhasebesi görünür; Taban PTRM durdurma davranışı Tavan için varsayılmaz.</x:v>
      </x:c>
      <x:c r="H76" s="7" t="str"/>
      <x:c r="I76" s="7" t="str"/>
      <x:c r="J76" s="7" t="str">
        <x:v>Test</x:v>
      </x:c>
      <x:c r="K76" s="3" t="str">
        <x:v>Yüksek</x:v>
      </x:c>
      <x:c r="L76" s="3" t="str">
        <x:v>R11; hata tekrar sayısı ve bakiye kaydedilir.</x:v>
      </x:c>
      <x:c r="M76" s="7" t="str"/>
    </x:row>
    <x:row r="77" ht="54" customHeight="1">
      <x:c r="A77" s="3" t="str">
        <x:v>TC-TVN-O04</x:v>
      </x:c>
      <x:c r="B77" s="7" t="str">
        <x:v>Test Edilmedi</x:v>
      </x:c>
      <x:c r="C77" s="3" t="str">
        <x:v>Operasyon</x:v>
      </x:c>
      <x:c r="D77" s="3" t="str">
        <x:v>Bağlantı kopması ve yeniden açılış</x:v>
      </x:c>
      <x:c r="E77" s="3" t="str">
        <x:v>Replay/harness veya ayrı test servisleri.</x:v>
      </x:c>
      <x:c r="F77" s="3" t="str">
        <x:v>1. GUI reconnect yap
2. Ayrı senaryoda servis restart/replay
3. Emir/pozisyon/sayaçları karşılaştır</x:v>
      </x:c>
      <x:c r="G77" s="3" t="str">
        <x:v>Eksik snapshot/limit/kimlik varsa Bloke; tekrar fill veya otomatik güvenli devam varsayılmaz.</x:v>
      </x:c>
      <x:c r="H77" s="7" t="str"/>
      <x:c r="I77" s="7" t="str"/>
      <x:c r="J77" s="7" t="str">
        <x:v>Test</x:v>
      </x:c>
      <x:c r="K77" s="3" t="str">
        <x:v>Yüksek</x:v>
      </x:c>
      <x:c r="L77" s="3" t="str">
        <x:v>R18; çalışan prod bağlantısı kesilmez.</x:v>
      </x:c>
      <x:c r="M77" s="7" t="str"/>
    </x:row>
    <x:row r="78" ht="54" customHeight="1">
      <x:c r="A78" s="3" t="str">
        <x:v>TC-TVN-O05</x:v>
      </x:c>
      <x:c r="B78" s="7" t="str">
        <x:v>Test Edilmedi</x:v>
      </x:c>
      <x:c r="C78" s="3" t="str">
        <x:v>Operasyon</x:v>
      </x:c>
      <x:c r="D78" s="3" t="str">
        <x:v>Test sonu kapatma ve kayıt</x:v>
      </x:c>
      <x:c r="E78" s="3" t="str">
        <x:v>Her test sonunda.</x:v>
      </x:c>
      <x:c r="F78" s="3" t="str">
        <x:v>1. Stratejiyi durdur
2. İlgili bekleyen emirleri ayrıca iptal et
3. Pozisyonu mutabıklaştır ve kanıtı kaydet</x:v>
      </x:c>
      <x:c r="G78" s="3" t="str">
        <x:v>Strateji, emir ve pozisyon durumları ayrı kaydedilir; elde kalan pozisyon gizlenmez.</x:v>
      </x:c>
      <x:c r="H78" s="7" t="str"/>
      <x:c r="I78" s="7" t="str"/>
      <x:c r="J78" s="7" t="str">
        <x:v>Test</x:v>
      </x:c>
      <x:c r="K78" s="3" t="str">
        <x:v>Yüksek</x:v>
      </x:c>
      <x:c r="L78" s="3" t="str">
        <x:v>Stop ≠ cancel ≠ pozisyon kapatma.</x:v>
      </x:c>
      <x:c r="M78" s="7" t="str"/>
    </x:row>
  </x:sheetData>
  <x:mergeCells>
    <x:mergeCell ref="G1:H1"/>
    <x:mergeCell ref="I1:L1"/>
    <x:mergeCell ref="A6:M6"/>
    <x:mergeCell ref="A7:M7"/>
    <x:mergeCell ref="A8:M8"/>
    <x:mergeCell ref="A10:M10"/>
    <x:mergeCell ref="A11:M11"/>
    <x:mergeCell ref="A12:M12"/>
    <x:mergeCell ref="A13:M13"/>
    <x:mergeCell ref="A14:M14"/>
    <x:mergeCell ref="A15:M15"/>
    <x:mergeCell ref="A16:M16"/>
    <x:mergeCell ref="A17:M17"/>
  </x:mergeCells>
  <x:conditionalFormatting sqref="B19:B78">
    <x:cfRule type="cellIs" dxfId="5" priority="1" operator="equal">
      <x:formula>"Başarılı"</x:formula>
    </x:cfRule>
    <x:cfRule type="cellIs" dxfId="6" priority="2" operator="equal">
      <x:formula>"Başarısız"</x:formula>
    </x:cfRule>
    <x:cfRule type="cellIs" dxfId="7" priority="3" operator="equal">
      <x:formula>"Test Ediliyor"</x:formula>
    </x:cfRule>
    <x:cfRule type="cellIs" dxfId="8" priority="4" operator="equal">
      <x:formula>"Kısmen"</x:formula>
    </x:cfRule>
    <x:cfRule type="cellIs" dxfId="9" priority="5" operator="equal">
      <x:formula>"Bloke"</x:formula>
    </x:cfRule>
  </x:conditionalFormatting>
  <x:dataValidations count="3">
    <x:dataValidation type="list" sqref="B19:B78">
      <x:formula1>Listeler!$A$2:$A$7</x:formula1>
    </x:dataValidation>
    <x:dataValidation type="list" sqref="J19:J78">
      <x:formula1>Listeler!$B$2:$B$5</x:formula1>
    </x:dataValidation>
    <x:dataValidation type="list" sqref="K19:K78">
      <x:formula1>Listeler!$C$2:$C$4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e7d32595dc48fc"/>
  </x:tableParts>
</x:worksheet>
</file>

<file path=xl/worksheets/sheet3.xml><?xml version="1.0" encoding="utf-8"?>
<x:worksheet xmlns:x="http://schemas.openxmlformats.org/spreadsheetml/2006/main">
  <x:sheetPr>
    <x:tabColor rgb="FF92D050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34" hidden="0" customWidth="1"/>
    <x:col min="5" max="5" width="46" hidden="0" customWidth="1"/>
    <x:col min="6" max="6" width="57" hidden="0" customWidth="1"/>
    <x:col min="7" max="7" width="57" hidden="0" customWidth="1"/>
    <x:col min="8" max="8" width="40" hidden="0" customWidth="1"/>
    <x:col min="9" max="9" width="34" hidden="0" customWidth="1"/>
    <x:col min="10" max="10" width="15" hidden="0" customWidth="1"/>
    <x:col min="11" max="11" width="13" hidden="0" customWidth="1"/>
    <x:col min="12" max="12" width="53" hidden="0" customWidth="1"/>
    <x:col min="13" max="13" width="24" hidden="0" customWidth="1"/>
  </x:cols>
  <x:sheetData>
    <x:row r="1">
      <x:c r="A1" s="3"/>
      <x:c r="B1" s="3"/>
      <x:c r="C1" s="6" t="str">
        <x:v>Proje Adı:</x:v>
      </x:c>
      <x:c r="D1" s="7" t="str">
        <x:v>MTrader</x:v>
      </x:c>
      <x:c r="E1" s="6" t="str">
        <x:v>Testi Hazırlayan:</x:v>
      </x:c>
      <x:c r="F1" s="7" t="str"/>
      <x:c r="G1" s="12" t="str">
        <x:v>ÖZET</x:v>
      </x:c>
      <x:c r="H1" s="12"/>
      <x:c r="I1" s="12" t="str">
        <x:v>SONUÇ DAĞILIMI</x:v>
      </x:c>
      <x:c r="J1" s="12"/>
      <x:c r="K1" s="12"/>
      <x:c r="L1" s="12"/>
      <x:c r="M1" s="3"/>
    </x:row>
    <x:row r="2">
      <x:c r="A2" s="3"/>
      <x:c r="B2" s="3"/>
      <x:c r="C2" s="6" t="str">
        <x:v>Modül Adı:</x:v>
      </x:c>
      <x:c r="D2" s="7" t="str">
        <x:v>Tavan (MaxPrice / 9)</x:v>
      </x:c>
      <x:c r="E2" s="6" t="str">
        <x:v>Hazırlama Tarihi:</x:v>
      </x:c>
      <x:c r="F2" s="9" t="n">
        <x:v>46321</x:v>
      </x:c>
      <x:c r="G2" s="3" t="str">
        <x:v>Toplam</x:v>
      </x:c>
      <x:c r="H2" s="14" t="n">
        <x:f>COUNTA(A11:A30)</x:f>
        <x:v>20</x:v>
      </x:c>
      <x:c r="I2" s="3" t="str">
        <x:v>Test Edilmedi</x:v>
      </x:c>
      <x:c r="J2" s="14" t="n">
        <x:f>COUNTIF(B11:B30,"Test Edilmedi")</x:f>
        <x:v>20</x:v>
      </x:c>
      <x:c r="K2" s="3" t="str">
        <x:v>Bloke</x:v>
      </x:c>
      <x:c r="L2" s="14" t="n">
        <x:f>COUNTIF(B11:B30,"Bloke")</x:f>
        <x:v>0</x:v>
      </x:c>
      <x:c r="M2" s="3"/>
    </x:row>
    <x:row r="3">
      <x:c r="A3" s="3"/>
      <x:c r="B3" s="3"/>
      <x:c r="C3" s="6" t="str">
        <x:v>Bölüm:</x:v>
      </x:c>
      <x:c r="D3" s="7" t="str">
        <x:v>Regresyon</x:v>
      </x:c>
      <x:c r="E3" s="6" t="str">
        <x:v>Testi Yapan:</x:v>
      </x:c>
      <x:c r="F3" s="7" t="str"/>
      <x:c r="G3" s="3" t="str">
        <x:v>Başarılı</x:v>
      </x:c>
      <x:c r="H3" s="14" t="n">
        <x:f>COUNTIF(B11:B30,"Başarılı")</x:f>
        <x:v>0</x:v>
      </x:c>
      <x:c r="I3" s="3" t="str">
        <x:v>Test Ediliyor</x:v>
      </x:c>
      <x:c r="J3" s="14" t="n">
        <x:f>COUNTIF(B11:B30,"Test Ediliyor")</x:f>
        <x:v>0</x:v>
      </x:c>
      <x:c r="K3" s="3" t="str">
        <x:v>Boş</x:v>
      </x:c>
      <x:c r="L3" s="14" t="n">
        <x:f>COUNTBLANK(B11:B30)</x:f>
        <x:v>0</x:v>
      </x:c>
      <x:c r="M3" s="3"/>
    </x:row>
    <x:row r="4">
      <x:c r="A4" s="3"/>
      <x:c r="B4" s="3"/>
      <x:c r="C4" s="6" t="str">
        <x:v>Dosya Sürümü:</x:v>
      </x:c>
      <x:c r="D4" s="8" t="n">
        <x:v>1</x:v>
      </x:c>
      <x:c r="E4" s="6" t="str">
        <x:v>Test Tarihi:</x:v>
      </x:c>
      <x:c r="F4" s="9" t="str"/>
      <x:c r="G4" s="3" t="str">
        <x:v>Başarısız</x:v>
      </x:c>
      <x:c r="H4" s="14" t="n">
        <x:f>COUNTIF(B11:B30,"Başarısız")</x:f>
        <x:v>0</x:v>
      </x:c>
      <x:c r="I4" s="3" t="str">
        <x:v>Kısmen</x:v>
      </x:c>
      <x:c r="J4" s="14" t="n">
        <x:f>COUNTIF(B11:B30,"Kısmen")</x:f>
        <x:v>0</x:v>
      </x:c>
      <x:c r="K4" s="3"/>
      <x:c r="L4" s="3"/>
      <x:c r="M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36" customHeight="1">
      <x:c r="A6" s="7" t="str">
        <x:v>Bu sayfa kaynak adayları, ürün/ortam teyitleri ve korunması gereken davranışları içerir. Durum kod değerlendirmesi; Sonuç manuel test kaydıdır. Beklenen Sonuç kaynak gözlemi/test ölçütüdür, ürün onayı yerine geçmez.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</x:row>
    <x:row r="7" ht="36" customHeight="1">
      <x:c r="A7" s="7" t="str">
        <x:v>Her satırda H: gerçekleşen gözlem; I: tarih-saat, GUI/motor sürümü, config, uniqueKey, token/father-ref ve log yolu; M: ekran/kanıt bağlantısı. Bilinmeyen alanlar doldurulmaz. Kısmen yalnız koşulan adımlar açıkça yazıldığında seçilir.</x:v>
      </x:c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</x:row>
    <x:row r="8" ht="36" customHeight="1">
      <x:c r="A8" s="7" t="str">
        <x:v>26.10.2026 kaynak incelemesi: HftSrvProd development 4275ccc (master052dd96); yeni GUI development b0474c3; SDK c2b5060; order-service26e9a02. Fetch yapıldı. Çalışan binary/config ve test tarihi ayrıca kaydedilir. Statik bulgu başarılı/başarısız manuel test değildir.</x:v>
      </x:c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 ht="32" customHeight="1">
      <x:c r="A10" s="20" t="str">
        <x:v>Test ID</x:v>
      </x:c>
      <x:c r="B10" s="20" t="str">
        <x:v>Sonuç</x:v>
      </x:c>
      <x:c r="C10" s="20" t="str">
        <x:v>Durum</x:v>
      </x:c>
      <x:c r="D10" s="20" t="str">
        <x:v>Başlık</x:v>
      </x:c>
      <x:c r="E10" s="20" t="str">
        <x:v>Kaynak Bulgusu / Gerekçe</x:v>
      </x:c>
      <x:c r="F10" s="20" t="str">
        <x:v>Test Adımları</x:v>
      </x:c>
      <x:c r="G10" s="20" t="str">
        <x:v>Beklenen Sonuç</x:v>
      </x:c>
      <x:c r="H10" s="20" t="str">
        <x:v>Gerçekleşen Sonuç</x:v>
      </x:c>
      <x:c r="I10" s="20" t="str">
        <x:v>Kanıt / Log Anahtarı</x:v>
      </x:c>
      <x:c r="J10" s="20" t="str">
        <x:v>Ortam</x:v>
      </x:c>
      <x:c r="K10" s="20" t="str">
        <x:v>Öncelik</x:v>
      </x:c>
      <x:c r="L10" s="20" t="str">
        <x:v>Not / Doğrulama</x:v>
      </x:c>
      <x:c r="M10" s="20" t="str">
        <x:v>Ekler</x:v>
      </x:c>
    </x:row>
    <x:row r="11" ht="54" customHeight="1">
      <x:c r="A11" s="3" t="str">
        <x:v>TC-TVN-R01</x:v>
      </x:c>
      <x:c r="B11" s="7" t="str">
        <x:v>Test Edilmedi</x:v>
      </x:c>
      <x:c r="C11" s="3" t="str">
        <x:v>AÇIK</x:v>
      </x:c>
      <x:c r="D11" s="3" t="str">
        <x:v>Tolerans kapalı: GUI0, motor−1</x:v>
      </x:c>
      <x:c r="E11" s="3" t="str">
        <x:v>GUI kapalı toleransı0 yazar; openPosition sayaç&gt;=0 ve tolerans!=-1 koşuluyla durur.</x:v>
      </x:c>
      <x:c r="F11" s="3" t="str">
        <x:v>1. Diğer RA ayarları geçerliyken toleransı kapat
2. Payload0 ve ilk giriş logunu izle
3. Pozitif toleransla karşılaştır</x:v>
      </x:c>
      <x:c r="G11" s="3" t="str">
        <x:v>Adayı yeniden üret:0 ile ilk girişten önce stop gözlenebilir. Ürün hedefi/onaylanmış kabul ölçütü henüz yok.</x:v>
      </x:c>
      <x:c r="H11" s="7" t="str"/>
      <x:c r="I11" s="7" t="str"/>
      <x:c r="J11" s="7" t="str">
        <x:v>Test</x:v>
      </x:c>
      <x:c r="K11" s="3" t="str">
        <x:v>Yüksek</x:v>
      </x:c>
      <x:c r="L11" s="3" t="str">
        <x:v>K-254; P19; encodeMaxPriceSettings/openPosition</x:v>
      </x:c>
      <x:c r="M11" s="7" t="str"/>
    </x:row>
    <x:row r="12" ht="54" customHeight="1">
      <x:c r="A12" s="3" t="str">
        <x:v>TC-TVN-R02</x:v>
      </x:c>
      <x:c r="B12" s="7" t="str">
        <x:v>Test Edilmedi</x:v>
      </x:c>
      <x:c r="C12" s="3" t="str">
        <x:v>AÇIK</x:v>
      </x:c>
      <x:c r="D12" s="3" t="str">
        <x:v>Yeni stratejide600/1200 saat</x:v>
      </x:c>
      <x:c r="E12" s="3" t="str">
        <x:v>getDefaultSettings600/1200 yazar; parser varsayılanı36000/64800. GUI pozitif mevcut değeri koruyabilir.</x:v>
      </x:c>
      <x:c r="F12" s="3" t="str">
        <x:v>1. Yeni stratejinin ham defaultunu oku
2. Modal kaydı yapmadan başlat
3. Açıp geçerli saat kaydet ve karşılaştır</x:v>
      </x:c>
      <x:c r="G12" s="3" t="str">
        <x:v>Yanlış saatlerin taşınıp taşınmadığı kanıtlanır; gün boyu pencere dışı kalma adayı.</x:v>
      </x:c>
      <x:c r="H12" s="7" t="str"/>
      <x:c r="I12" s="7" t="str"/>
      <x:c r="J12" s="7" t="str">
        <x:v>Test</x:v>
      </x:c>
      <x:c r="K12" s="3" t="str">
        <x:v>Yüksek</x:v>
      </x:c>
      <x:c r="L12" s="3" t="str">
        <x:v>K-03; P07/P08; runtime henüz yok.</x:v>
      </x:c>
      <x:c r="M12" s="7" t="str"/>
    </x:row>
    <x:row r="13" ht="54" customHeight="1">
      <x:c r="A13" s="3" t="str">
        <x:v>TC-TVN-R03</x:v>
      </x:c>
      <x:c r="B13" s="7" t="str">
        <x:v>Test Edilmedi</x:v>
      </x:c>
      <x:c r="C13" s="3" t="str">
        <x:v>AÇIK</x:v>
      </x:c>
      <x:c r="D13" s="3" t="str">
        <x:v>Tekrar giriş süresini header yolu atlayabilir</x:v>
      </x:c>
      <x:c r="E13" s="3" t="str">
        <x:v>shouldEnterPosition tekrar giriş süresini kontrol eder; HEADER_CHANGED doğrudan openPosition çağırır.</x:v>
      </x:c>
      <x:c r="F13" s="3" t="str">
        <x:v>1. Tekrar giriş5sn ayarla
2. Tavanı boz ve1sn içinde yeniden kilitle
3. Header ve level nedenlerini ayrı izle</x:v>
      </x:c>
      <x:c r="G13" s="3" t="str">
        <x:v>Header yolunun erken giriş adayı test edilir; bütün girişlere5sn koruma garantisi verilmez.</x:v>
      </x:c>
      <x:c r="H13" s="7" t="str"/>
      <x:c r="I13" s="7" t="str"/>
      <x:c r="J13" s="7" t="str">
        <x:v>Test</x:v>
      </x:c>
      <x:c r="K13" s="3" t="str">
        <x:v>Yüksek</x:v>
      </x:c>
      <x:c r="L13" s="3" t="str">
        <x:v>K-255; P18; processItchEventTimed/shouldEnterPosition</x:v>
      </x:c>
      <x:c r="M13" s="7" t="str"/>
    </x:row>
    <x:row r="14" ht="54" customHeight="1">
      <x:c r="A14" s="3" t="str">
        <x:v>TC-TVN-R04</x:v>
      </x:c>
      <x:c r="B14" s="7" t="str">
        <x:v>Test Edilmedi</x:v>
      </x:c>
      <x:c r="C14" s="3" t="str">
        <x:v>TEYİT BEKLİYOR</x:v>
      </x:c>
      <x:c r="D14" s="3" t="str">
        <x:v>TL hesabında sabit1000 ve enstrüman ölçeği</x:v>
      </x:c>
      <x:c r="E14" s="3" t="str">
        <x:v>GUI divider kullanır; motor normal/restore hedefinde TLSize×1000/raw kullanır.</x:v>
      </x:c>
      <x:c r="F14" s="3" t="str">
        <x:v>1. Simülasyonda divider100 ve1000 için aynı TL fiyat kur
2. Hedef lotları karşılaştır</x:v>
      </x:c>
      <x:c r="G14" s="3" t="str">
        <x:v>Divider1000 dışı destekleniyorsa miktar farkı adayı görünür; gerçek Tavan enstrüman kapsamı teyit bekler.</x:v>
      </x:c>
      <x:c r="H14" s="7" t="str"/>
      <x:c r="I14" s="7" t="str"/>
      <x:c r="J14" s="7" t="str">
        <x:v>Test</x:v>
      </x:c>
      <x:c r="K14" s="3" t="str">
        <x:v>Yüksek</x:v>
      </x:c>
      <x:c r="L14" s="3" t="str">
        <x:v>K-256; P04/P32; aynı risk raw satış tavanının TL yorumunda.</x:v>
      </x:c>
      <x:c r="M14" s="7" t="str"/>
    </x:row>
    <x:row r="15" ht="54" customHeight="1">
      <x:c r="A15" s="3" t="str">
        <x:v>TC-TVN-R05</x:v>
      </x:c>
      <x:c r="B15" s="7" t="str">
        <x:v>Test Edilmedi</x:v>
      </x:c>
      <x:c r="C15" s="3" t="str">
        <x:v>RİSK</x:v>
      </x:c>
      <x:c r="D15" s="3" t="str">
        <x:v>Bir lottan küçük TL: ekranda1, motorda0</x:v>
      </x:c>
      <x:c r="E15" s="3" t="str">
        <x:v>calculateLotFromTl pozitif tutarda en az1 döndürür; motor tam sayı bölmesi0 olabilir.</x:v>
      </x:c>
      <x:c r="F15" s="3" t="str">
        <x:v>1.20TL tavanda1/19/20TL gir
2. Ekran lotu, wire TL ve motor miktarını karşılaştır</x:v>
      </x:c>
      <x:c r="G15" s="3" t="str">
        <x:v>Tutarsızlık kaydedilir; 0 lot emrin ret/yerel durum etkisi ayrıca kanıtlanır.</x:v>
      </x:c>
      <x:c r="H15" s="7" t="str"/>
      <x:c r="I15" s="7" t="str"/>
      <x:c r="J15" s="7" t="str">
        <x:v>Test</x:v>
      </x:c>
      <x:c r="K15" s="3" t="str">
        <x:v>Yüksek</x:v>
      </x:c>
      <x:c r="L15" s="3" t="str">
        <x:v>K-256 kapsamı; P04; ürün minimum tutar kararı gerekir.</x:v>
      </x:c>
      <x:c r="M15" s="7" t="str"/>
    </x:row>
    <x:row r="16" ht="54" customHeight="1">
      <x:c r="A16" s="3" t="str">
        <x:v>TC-TVN-R06</x:v>
      </x:c>
      <x:c r="B16" s="7" t="str">
        <x:v>Test Edilmedi</x:v>
      </x:c>
      <x:c r="C16" s="3" t="str">
        <x:v>RİSK</x:v>
      </x:c>
      <x:c r="D16" s="3" t="str">
        <x:v>Bitiş saatinde koruyucu olaylar elenir</x:v>
      </x:c>
      <x:c r="E16" s="3" t="str">
        <x:v>Snapshot hariç saat filtresi timer/defter çıkış olaylarını da keser.</x:v>
      </x:c>
      <x:c r="F16" s="3" t="str">
        <x:v>1. Bitiş öncesi pozisyon aç
2. Bitiş/eşit/sonrasında çıkış koşulu ve timer üret</x:v>
      </x:c>
      <x:c r="G16" s="3" t="str">
        <x:v>Saat dışı otomatik kapatma garantisi yok; korumanın kapsamı ürün kararıdır.</x:v>
      </x:c>
      <x:c r="H16" s="7" t="str"/>
      <x:c r="I16" s="7" t="str"/>
      <x:c r="J16" s="7" t="str">
        <x:v>Test</x:v>
      </x:c>
      <x:c r="K16" s="3" t="str">
        <x:v>Yüksek</x:v>
      </x:c>
      <x:c r="L16" s="3" t="str">
        <x:v>K-238; P07/P08/P15; testte pozisyon kontrolü zorunlu.</x:v>
      </x:c>
      <x:c r="M16" s="7" t="str"/>
    </x:row>
    <x:row r="17" ht="54" customHeight="1">
      <x:c r="A17" s="3" t="str">
        <x:v>TC-TVN-R07</x:v>
      </x:c>
      <x:c r="B17" s="7" t="str">
        <x:v>Test Edilmedi</x:v>
      </x:c>
      <x:c r="C17" s="3" t="str">
        <x:v>AÇIK</x:v>
      </x:c>
      <x:c r="D17" s="3" t="str">
        <x:v>İptal ACK sonrası sessiz defterde satış beklemesi</x:v>
      </x:c>
      <x:c r="E17" s="3" t="str">
        <x:v>closePosition depth boş değilse cancel sonrası döner; deleteOrder callbackinde closePosition yeniden çağrılmaz.</x:v>
      </x:c>
      <x:c r="F17" s="3" t="str">
        <x:v>1. Kısmen dolmuş giriş ve bekleyen alış bırak
2. Çıkışı tetikle; cancel ACKi geciktir
3. ACK sonrası yeni ITCH olayı verme</x:v>
      </x:c>
      <x:c r="G17" s="3" t="str">
        <x:v>Satışın yeni olay/timer beklemesi adayı sınanır; kesin gecikme veya kayıp fill iddiası değildir.</x:v>
      </x:c>
      <x:c r="H17" s="7" t="str"/>
      <x:c r="I17" s="7" t="str"/>
      <x:c r="J17" s="7" t="str">
        <x:v>Test</x:v>
      </x:c>
      <x:c r="K17" s="3" t="str">
        <x:v>Yüksek</x:v>
      </x:c>
      <x:c r="L17" s="3" t="str">
        <x:v>K-257; B01/B10; closePosition/deleteOrder</x:v>
      </x:c>
      <x:c r="M17" s="7" t="str"/>
    </x:row>
    <x:row r="18" ht="54" customHeight="1">
      <x:c r="A18" s="3" t="str">
        <x:v>TC-TVN-R08</x:v>
      </x:c>
      <x:c r="B18" s="7" t="str">
        <x:v>Test Edilmedi</x:v>
      </x:c>
      <x:c r="C18" s="3" t="str">
        <x:v>REGRESYON</x:v>
      </x:c>
      <x:c r="D18" s="3" t="str">
        <x:v>Pending giriş niyeti ve TTL</x:v>
      </x:c>
      <x:c r="E18" s="3" t="str">
        <x:v>2ms TTL yalnız callback tüketiminde kontrol edilir; aile/derinlik/tavan koşulları gerekir.</x:v>
      </x:c>
      <x:c r="F18" s="3" t="str">
        <x:v>1. Callbackleri1ms ve3ms geciktir
2. Kilidi boz veya stop et
3. Tekrar giriş sayısını izle</x:v>
      </x:c>
      <x:c r="G18" s="3" t="str">
        <x:v>Geç/uygunsuz niyet silinir; kısa sürede uygun callback yalnız bir giriş tüketir.</x:v>
      </x:c>
      <x:c r="H18" s="7" t="str"/>
      <x:c r="I18" s="7" t="str"/>
      <x:c r="J18" s="7" t="str">
        <x:v>Test</x:v>
      </x:c>
      <x:c r="K18" s="3" t="str">
        <x:v>Yüksek</x:v>
      </x:c>
      <x:c r="L18" s="3" t="str">
        <x:v>C07; tryConsumePendingOpenAfterClose; zamanlamalı test gerekir.</x:v>
      </x:c>
      <x:c r="M18" s="7" t="str"/>
    </x:row>
    <x:row r="19" ht="54" customHeight="1">
      <x:c r="A19" s="3" t="str">
        <x:v>TC-TVN-R09</x:v>
      </x:c>
      <x:c r="B19" s="7" t="str">
        <x:v>Test Edilmedi</x:v>
      </x:c>
      <x:c r="C19" s="3" t="str">
        <x:v>REGRESYON</x:v>
      </x:c>
      <x:c r="D19" s="3" t="str">
        <x:v>Restore/top-up sırasında fill yarışı</x:v>
      </x:c>
      <x:c r="E19" s="3" t="str">
        <x:v>Restore cancel ve alış birlikte; top-up hedef−(balance+restingBuy) hesabı ile callbacklerden denenir.</x:v>
      </x:c>
      <x:c r="F19" s="3" t="str">
        <x:v>1. Satış canceli sırasında ek fill ver
2. Accept/ret sırasını değiştir
3. Nihai hedef ve açık alışları karşılaştır</x:v>
      </x:c>
      <x:c r="G19" s="3" t="str">
        <x:v>Mükerrer tam hedef alınmamalı; ret sonrası eksik hedef olabilir, sonuç logla kaydedilir.</x:v>
      </x:c>
      <x:c r="H19" s="7" t="str"/>
      <x:c r="I19" s="7" t="str"/>
      <x:c r="J19" s="7" t="str">
        <x:v>Test</x:v>
      </x:c>
      <x:c r="K19" s="3" t="str">
        <x:v>Yüksek</x:v>
      </x:c>
      <x:c r="L19" s="3" t="str">
        <x:v>C05/C06/C08; topUpToTargetIfShort</x:v>
      </x:c>
      <x:c r="M19" s="7" t="str"/>
    </x:row>
    <x:row r="20" ht="54" customHeight="1">
      <x:c r="A20" s="3" t="str">
        <x:v>TC-TVN-R10</x:v>
      </x:c>
      <x:c r="B20" s="7" t="str">
        <x:v>Test Edilmedi</x:v>
      </x:c>
      <x:c r="C20" s="3" t="str">
        <x:v>ÜRÜN KARARI</x:v>
      </x:c>
      <x:c r="D20" s="3" t="str">
        <x:v>Stop/sil/toplu kayıt emir iptali değildir</x:v>
      </x:c>
      <x:c r="E20" s="3" t="str">
        <x:v>GUI silmede stop; toplu ayarda stop gönderir. Motor stop abonelik/niyet temizler, otomatik pozisyon kapatmaz.</x:v>
      </x:c>
      <x:c r="F20" s="3" t="str">
        <x:v>1. Pasif emir ve balance varken stop/sil/toplu kaydı ayrı dene
2. Emir/pozisyonu izleyip temizle</x:v>
      </x:c>
      <x:c r="G20" s="3" t="str">
        <x:v>Durdurma, emir iptali ve pozisyon kapatma ayrı ölçülür; hedef politika kullanıcı/ekip kararı bekler.</x:v>
      </x:c>
      <x:c r="H20" s="7" t="str"/>
      <x:c r="I20" s="7" t="str"/>
      <x:c r="J20" s="7" t="str">
        <x:v>Test</x:v>
      </x:c>
      <x:c r="K20" s="3" t="str">
        <x:v>Yüksek</x:v>
      </x:c>
      <x:c r="L20" s="3" t="str">
        <x:v>U06/U08/O05; HFT silme davranışı kopyalanmadı.</x:v>
      </x:c>
      <x:c r="M20" s="7" t="str"/>
    </x:row>
    <x:row r="21" ht="54" customHeight="1">
      <x:c r="A21" s="3" t="str">
        <x:v>TC-TVN-R11</x:v>
      </x:c>
      <x:c r="B21" s="7" t="str">
        <x:v>Test Edilmedi</x:v>
      </x:c>
      <x:c r="C21" s="3" t="str">
        <x:v>RİSK</x:v>
      </x:c>
      <x:c r="D21" s="3" t="str">
        <x:v>Ret sonrası final-buy ve PTRM</x:v>
      </x:c>
      <x:c r="E21" s="3" t="str">
        <x:v>Final buy gönderim denemesinden sonra stop olabilir; rejectOrder Tabanın PTRM stop kuralını taşımaz.</x:v>
      </x:c>
      <x:c r="F21" s="3" t="str">
        <x:v>1. Son alış için yerel/borsa retleri ve kısmi kabul üret
2. Pozisyon/running/aileyi izle</x:v>
      </x:c>
      <x:c r="G21" s="3" t="str">
        <x:v>Alışla bitir = alışın dolduğunun garantisi değildir; gerçek ret davranışı ayrı kaydedilir.</x:v>
      </x:c>
      <x:c r="H21" s="7" t="str"/>
      <x:c r="I21" s="7" t="str"/>
      <x:c r="J21" s="7" t="str">
        <x:v>Test</x:v>
      </x:c>
      <x:c r="K21" s="3" t="str">
        <x:v>Yüksek</x:v>
      </x:c>
      <x:c r="L21" s="3" t="str">
        <x:v>D02/O03; Finish_With_Buy; ürün ve entegrasyon teyidi.</x:v>
      </x:c>
      <x:c r="M21" s="7" t="str"/>
    </x:row>
    <x:row r="22" ht="42" customHeight="1">
      <x:c r="A22" s="3" t="str">
        <x:v>TC-TVN-R12</x:v>
      </x:c>
      <x:c r="B22" s="7" t="str">
        <x:v>Test Edilmedi</x:v>
      </x:c>
      <x:c r="C22" s="3" t="str">
        <x:v>ÜRÜN KARARI</x:v>
      </x:c>
      <x:c r="D22" s="3" t="str">
        <x:v>Yüzde iptal modunda recover kapısı</x:v>
      </x:c>
      <x:c r="E22" s="3" t="str">
        <x:v>Recover açık olsa da Cancel_Lot_Number=0 dalında false döner.</x:v>
      </x:c>
      <x:c r="F22" s="3" t="str">
        <x:v>1. Yüzde iptal+recover ayarla
2. Kilit korunurken kuyruğu yükselt</x:v>
      </x:c>
      <x:c r="G22" s="3" t="str">
        <x:v>Bu recover yolunda giriş yok; kullanıcıya sunulan kombinasyonun amacı netleştirilir.</x:v>
      </x:c>
      <x:c r="H22" s="7" t="str"/>
      <x:c r="I22" s="7" t="str"/>
      <x:c r="J22" s="7" t="str">
        <x:v>Test</x:v>
      </x:c>
      <x:c r="K22" s="3" t="str">
        <x:v>Yüksek</x:v>
      </x:c>
      <x:c r="L22" s="3" t="str">
        <x:v>P10/P16; shouldEnterPosition</x:v>
      </x:c>
      <x:c r="M22" s="7" t="str"/>
    </x:row>
    <x:row r="23" ht="42" customHeight="1">
      <x:c r="A23" s="3" t="str">
        <x:v>TC-TVN-R13</x:v>
      </x:c>
      <x:c r="B23" s="7" t="str">
        <x:v>Test Edilmedi</x:v>
      </x:c>
      <x:c r="C23" s="3" t="str">
        <x:v>TEYİT BEKLİYOR</x:v>
      </x:c>
      <x:c r="D23" s="3" t="str">
        <x:v>Max-size sert çıkış ve grace önceliği</x:v>
      </x:c>
      <x:c r="E23" s="3" t="str">
        <x:v>Max-size olay dalı normal shouldCancelPosition akışından ayrıdır.</x:v>
      </x:c>
      <x:c r="F23" s="3" t="str">
        <x:v>1. Giriş grace içindeyken max-size satış üret
2. Grace sonrası ve bayrak kapalıyla karşılaştır</x:v>
      </x:c>
      <x:c r="G23" s="3" t="str">
        <x:v>Sert çıkışın secondRule önceliği olay türüyle kanıtlanır; normal lot çıkışı sonucu genellenmez.</x:v>
      </x:c>
      <x:c r="H23" s="7" t="str"/>
      <x:c r="I23" s="7" t="str"/>
      <x:c r="J23" s="7" t="str">
        <x:v>Test</x:v>
      </x:c>
      <x:c r="K23" s="3" t="str">
        <x:v>Yüksek</x:v>
      </x:c>
      <x:c r="L23" s="3" t="str">
        <x:v>P15/P26; LEVEL_CHANGED maxSizeSellAtTavan</x:v>
      </x:c>
      <x:c r="M23" s="7" t="str"/>
    </x:row>
    <x:row r="24" ht="54" customHeight="1">
      <x:c r="A24" s="3" t="str">
        <x:v>TC-TVN-R14</x:v>
      </x:c>
      <x:c r="B24" s="7" t="str">
        <x:v>Test Edilmedi</x:v>
      </x:c>
      <x:c r="C24" s="3" t="str">
        <x:v>RİSK</x:v>
      </x:c>
      <x:c r="D24" s="3" t="str">
        <x:v>Aktif kademe çıkışında tick bandı</x:v>
      </x:c>
      <x:c r="E24" s="3" t="str">
        <x:v>Çıkış tavan−N×tavanTick; momentum arm-price ise tick adımlarını tek tek yürür.</x:v>
      </x:c>
      <x:c r="F24" s="3" t="str">
        <x:v>1. Sentetik tick bandı sınırındaN kademe kaçış dene
2. Hesaplanan/izinli fiyatı karşılaştır</x:v>
      </x:c>
      <x:c r="G24" s="3" t="str">
        <x:v>Bant geçişinde gerçekN kademe ile sabit tick farkı ve borsa kabulü kaydedilir.</x:v>
      </x:c>
      <x:c r="H24" s="7" t="str"/>
      <x:c r="I24" s="7" t="str"/>
      <x:c r="J24" s="7" t="str">
        <x:v>Test</x:v>
      </x:c>
      <x:c r="K24" s="3" t="str">
        <x:v>Yüksek</x:v>
      </x:c>
      <x:c r="L24" s="3" t="str">
        <x:v>P13/P25; canlı borsa kuralı değişikliği iddiası yok.</x:v>
      </x:c>
      <x:c r="M24" s="7" t="str"/>
    </x:row>
    <x:row r="25" ht="54" customHeight="1">
      <x:c r="A25" s="3" t="str">
        <x:v>TC-TVN-R15</x:v>
      </x:c>
      <x:c r="B25" s="7" t="str">
        <x:v>Test Edilmedi</x:v>
      </x:c>
      <x:c r="C25" s="3" t="str">
        <x:v>TEYİT BEKLİYOR</x:v>
      </x:c>
      <x:c r="D25" s="3" t="str">
        <x:v>Alınca1 yap sonrası abonelik eşiği</x:v>
      </x:c>
      <x:c r="E25" s="3" t="str">
        <x:v>openPosition meltLot=1 ve UI güncellemesi yapar; aynı noktada subscription güncellemesi TODO.</x:v>
      </x:c>
      <x:c r="F25" s="3" t="str">
        <x:v>1. Büyük melt lotla ilk giriş
2. Sonraki1/2 lot olaylarını ve SDK eşiğini izle</x:v>
      </x:c>
      <x:c r="G25" s="3" t="str">
        <x:v>Karar eşiği ile SDK event üretimi tutarlılığı doğrulanır; fazla callback kesin fazla emir sayılmaz.</x:v>
      </x:c>
      <x:c r="H25" s="7" t="str"/>
      <x:c r="I25" s="7" t="str"/>
      <x:c r="J25" s="7" t="str">
        <x:v>Test</x:v>
      </x:c>
      <x:c r="K25" s="3" t="str">
        <x:v>Yüksek</x:v>
      </x:c>
      <x:c r="L25" s="3" t="str">
        <x:v>P05; kaynak şüphesi, yeni uygulama testi yok.</x:v>
      </x:c>
      <x:c r="M25" s="7" t="str"/>
    </x:row>
    <x:row r="26" ht="42" customHeight="1">
      <x:c r="A26" s="3" t="str">
        <x:v>TC-TVN-R16</x:v>
      </x:c>
      <x:c r="B26" s="7" t="str">
        <x:v>Test Edilmedi</x:v>
      </x:c>
      <x:c r="C26" s="3" t="str">
        <x:v>REGRESYON</x:v>
      </x:c>
      <x:c r="D26" s="3" t="str">
        <x:v>Momentum gate/branch farkı</x:v>
      </x:c>
      <x:c r="E26" s="3" t="str">
        <x:v>Development delta/arm-price destekler; masterdaki alan ve uygulama aynı değil.</x:v>
      </x:c>
      <x:c r="F26" s="3" t="str">
        <x:v>1. Sürüm ve SDK header/library eşleşmesini kaydet
2. Gate güncelleme hatasını harness ile üret</x:v>
      </x:c>
      <x:c r="G26" s="3" t="str">
        <x:v>Alış gate başarısızlığında threshold0 denemesi ve gerçek SDK ayarı doğrulanır.</x:v>
      </x:c>
      <x:c r="H26" s="7" t="str"/>
      <x:c r="I26" s="7" t="str"/>
      <x:c r="J26" s="7" t="str">
        <x:v>Test</x:v>
      </x:c>
      <x:c r="K26" s="3" t="str">
        <x:v>Yüksek</x:v>
      </x:c>
      <x:c r="L26" s="3" t="str">
        <x:v>P22–P28; build/deploy kanıtı ayrı.</x:v>
      </x:c>
      <x:c r="M26" s="7" t="str"/>
    </x:row>
    <x:row r="27" ht="54" customHeight="1">
      <x:c r="A27" s="3" t="str">
        <x:v>TC-TVN-R17</x:v>
      </x:c>
      <x:c r="B27" s="7" t="str">
        <x:v>Test Edilmedi</x:v>
      </x:c>
      <x:c r="C27" s="3" t="str">
        <x:v>RİSK</x:v>
      </x:c>
      <x:c r="D27" s="3" t="str">
        <x:v>Saat alias ve tip round-trip</x:v>
      </x:c>
      <x:c r="E27" s="3" t="str">
        <x:v>Form Stop_Time öncelikli; payload End_Time öncelikli. Long girişli bazı alanlar snapshotta Int dönüyor.</x:v>
      </x:c>
      <x:c r="F27" s="3" t="str">
        <x:v>1. Çakışan aliaslı fixture ile form/payloadı karşılaştır
2. Second_Rule_Duration ve saatleri yeniden kaydet</x:v>
      </x:c>
      <x:c r="G27" s="3" t="str">
        <x:v>Normalize edilen değer ve yeniden gönderilen wire tipi kaydedilir; yanlış tip yeni GUIde olmuş sayılmaz.</x:v>
      </x:c>
      <x:c r="H27" s="7" t="str"/>
      <x:c r="I27" s="7" t="str"/>
      <x:c r="J27" s="7" t="str">
        <x:v>Test</x:v>
      </x:c>
      <x:c r="K27" s="3" t="str">
        <x:v>Yüksek</x:v>
      </x:c>
      <x:c r="L27" s="3" t="str">
        <x:v>P07/P08/P15; MaxPriceCommand::toClientMessage/maxPricePayload</x:v>
      </x:c>
      <x:c r="M27" s="7" t="str"/>
    </x:row>
    <x:row r="28" ht="54" customHeight="1">
      <x:c r="A28" s="3" t="str">
        <x:v>TC-TVN-R18</x:v>
      </x:c>
      <x:c r="B28" s="7" t="str">
        <x:v>Test Edilmedi</x:v>
      </x:c>
      <x:c r="C28" s="3" t="str">
        <x:v>TEYİT BEKLİYOR</x:v>
      </x:c>
      <x:c r="D28" s="3" t="str">
        <x:v>Restart/handoff ve dış risk</x:v>
      </x:c>
      <x:c r="E28" s="3" t="str">
        <x:v>SDK/yedek yol, replay ve kurum risk ayarları çalışan ortamı gerektirir.</x:v>
      </x:c>
      <x:c r="F28" s="3" t="str">
        <x:v>1. Test config/dağıtım sürümlerini kaydet
2. Replay accept/fill/tokenları mutabıklaştır</x:v>
      </x:c>
      <x:c r="G28" s="3" t="str">
        <x:v>Eksik ortam kanıtı Bloke/teyit olarak kalır; SDK yolunun order-service riskinden geçtiği varsayılmaz.</x:v>
      </x:c>
      <x:c r="H28" s="7" t="str"/>
      <x:c r="I28" s="7" t="str"/>
      <x:c r="J28" s="7" t="str">
        <x:v>Test</x:v>
      </x:c>
      <x:c r="K28" s="3" t="str">
        <x:v>Yüksek</x:v>
      </x:c>
      <x:c r="L28" s="3" t="str">
        <x:v>O01/O04; mevcut HFT altyapı belgeleri.</x:v>
      </x:c>
      <x:c r="M28" s="7" t="str"/>
    </x:row>
    <x:row r="29" ht="54" customHeight="1">
      <x:c r="A29" s="3" t="str">
        <x:v>TC-TVN-R19</x:v>
      </x:c>
      <x:c r="B29" s="7" t="str">
        <x:v>Test Edilmedi</x:v>
      </x:c>
      <x:c r="C29" s="3" t="str">
        <x:v>AÇIK</x:v>
      </x:c>
      <x:c r="D29" s="3" t="str">
        <x:v>Father-ref miktar aşımında sayaç</x:v>
      </x:c>
      <x:c r="E29" s="3" t="str">
        <x:v>updateQtyForFatherOrderRef kalan&lt;gelen ise0 yapıp ardından geleni çıkarır; unsigned sayaç alt taşabilir.</x:v>
      </x:c>
      <x:c r="F29" s="3" t="str">
        <x:v>1. Harness ile aynı refte beklenenden fazla/tekrar accept ver
2. Sayaç ve orderCompletelyAccepted izle</x:v>
      </x:c>
      <x:c r="G29" s="3" t="str">
        <x:v>Gatein açık/kapalı kalışı ve child miktarları doğrulanır; üretimde oluşma koşulu ayrıca teyit.</x:v>
      </x:c>
      <x:c r="H29" s="7" t="str"/>
      <x:c r="I29" s="7" t="str"/>
      <x:c r="J29" s="7" t="str">
        <x:v>Test</x:v>
      </x:c>
      <x:c r="K29" s="3" t="str">
        <x:v>Yüksek</x:v>
      </x:c>
      <x:c r="L29" s="3" t="str">
        <x:v>K-258; O02; gerçek yüksek lot gönderilmez.</x:v>
      </x:c>
      <x:c r="M29" s="7" t="str"/>
    </x:row>
    <x:row r="30" ht="54" customHeight="1">
      <x:c r="A30" s="3" t="str">
        <x:v>TC-TVN-R20</x:v>
      </x:c>
      <x:c r="B30" s="7" t="str">
        <x:v>Test Edilmedi</x:v>
      </x:c>
      <x:c r="C30" s="3" t="str">
        <x:v>AÇIK</x:v>
      </x:c>
      <x:c r="D30" s="3" t="str">
        <x:v>Gizli hacim iptal alanları</x:v>
      </x:c>
      <x:c r="E30" s="3" t="str">
        <x:v>Cancel_Time/Cancel_Volume_Ratio GUIde görünmez ama taşınır; shouldCancelPositionViaVolume son dalda return eksik.</x:v>
      </x:c>
      <x:c r="F30" s="3" t="str">
        <x:v>1. Varsayılan0/0 taşımasını kontrol et
2. Harness ile iki alanı pozitif yap ve tüm dalları çalıştır</x:v>
      </x:c>
      <x:c r="G30" s="3" t="str">
        <x:v>Kapalı yol ile eski gizli ayar ayrılır; açık yolda davranış güvenilir kabul edilmez.</x:v>
      </x:c>
      <x:c r="H30" s="7" t="str"/>
      <x:c r="I30" s="7" t="str"/>
      <x:c r="J30" s="7" t="str">
        <x:v>Test</x:v>
      </x:c>
      <x:c r="K30" s="3" t="str">
        <x:v>Yüksek</x:v>
      </x:c>
      <x:c r="L30" s="3" t="str">
        <x:v>K-63; P33; eski header iddiası ayrı teyit.</x:v>
      </x:c>
      <x:c r="M30" s="7" t="str"/>
    </x:row>
  </x:sheetData>
  <x:mergeCells>
    <x:mergeCell ref="G1:H1"/>
    <x:mergeCell ref="I1:L1"/>
    <x:mergeCell ref="A6:M6"/>
    <x:mergeCell ref="A7:M7"/>
    <x:mergeCell ref="A8:M8"/>
  </x:mergeCells>
  <x:conditionalFormatting sqref="B11:B30">
    <x:cfRule type="cellIs" dxfId="10" priority="1" operator="equal">
      <x:formula>"Başarılı"</x:formula>
    </x:cfRule>
    <x:cfRule type="cellIs" dxfId="11" priority="2" operator="equal">
      <x:formula>"Başarısız"</x:formula>
    </x:cfRule>
    <x:cfRule type="cellIs" dxfId="12" priority="3" operator="equal">
      <x:formula>"Test Ediliyor"</x:formula>
    </x:cfRule>
    <x:cfRule type="cellIs" dxfId="13" priority="4" operator="equal">
      <x:formula>"Kısmen"</x:formula>
    </x:cfRule>
    <x:cfRule type="cellIs" dxfId="14" priority="5" operator="equal">
      <x:formula>"Bloke"</x:formula>
    </x:cfRule>
  </x:conditionalFormatting>
  <x:dataValidations count="4">
    <x:dataValidation type="list" sqref="B11:B30">
      <x:formula1>Listeler!$A$2:$A$7</x:formula1>
    </x:dataValidation>
    <x:dataValidation type="list" sqref="J11:J30">
      <x:formula1>Listeler!$B$2:$B$5</x:formula1>
    </x:dataValidation>
    <x:dataValidation type="list" sqref="K11:K30">
      <x:formula1>Listeler!$C$2:$C$4</x:formula1>
    </x:dataValidation>
    <x:dataValidation type="list" sqref="C11:C30">
      <x:formula1>Listeler!$D$2:$D$7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14f552ab6b492b"/>
  </x:tableParts>
</x:worksheet>
</file>

<file path=xl/worksheets/sheet4.xml><?xml version="1.0" encoding="utf-8"?>
<x:worksheet xmlns:x="http://schemas.openxmlformats.org/spreadsheetml/2006/main">
  <x:sheetPr>
    <x:tabColor rgb="FF92D05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3" hidden="0" customWidth="1"/>
    <x:col min="3" max="3" width="57" hidden="0" customWidth="1"/>
    <x:col min="4" max="4" width="22" hidden="0" customWidth="1"/>
    <x:col min="5" max="5" width="78" hidden="0" customWidth="1"/>
    <x:col min="6" max="6" width="68" hidden="0" customWidth="1"/>
    <x:col min="7" max="7" width="57" hidden="0" customWidth="1"/>
    <x:col min="8" max="8" width="40" hidden="0" customWidth="1"/>
    <x:col min="9" max="9" width="34" hidden="0" customWidth="1"/>
    <x:col min="10" max="10" width="15" hidden="0" customWidth="1"/>
    <x:col min="11" max="11" width="13" hidden="0" customWidth="1"/>
    <x:col min="12" max="12" width="53" hidden="0" customWidth="1"/>
    <x:col min="13" max="13" width="24" hidden="0" customWidth="1"/>
  </x:cols>
  <x:sheetData>
    <x:row r="1" ht="30" customHeight="1">
      <x:c r="A1" s="21" t="str">
        <x:v>Tavan — Parametre Eşleştirme</x:v>
      </x:c>
      <x:c r="B1" s="21"/>
      <x:c r="C1" s="21"/>
      <x:c r="D1" s="21"/>
      <x:c r="E1" s="21"/>
      <x:c r="F1" s="21"/>
      <x:c r="G1" s="3"/>
      <x:c r="H1" s="3"/>
      <x:c r="I1" s="3"/>
      <x:c r="J1" s="3"/>
      <x:c r="K1" s="3"/>
      <x:c r="L1" s="3"/>
      <x:c r="M1" s="3"/>
    </x:row>
    <x:row r="2" ht="45" customHeight="1">
      <x:c r="A2" s="3" t="str">
        <x:v>26.10.2026 kaynak incelemesi: HftSrvProd development 4275ccc (master052dd96); yeni GUI development b0474c3; SDK c2b5060; order-service26e9a02. Fetch yapıldı. Çalışan binary/config ve test tarihi ayrıca kaydedilir. Statik bulgu başarılı/başarısız manuel test değildir.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40" customHeight="1">
      <x:c r="A3" s="3" t="str">
        <x:v>Kaynak kısaltmaları: GUI=maxPriceSettings/maxPricePayload/MaxPriceTrackerForm; motor=HftMaxPrice/MaxPriceCommand. Tam yollar ve commitler tavan-inceleme-2026-10-26.md içinde. Eşleşiyor etiketi manuel test başarısı değildir.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2" customHeight="1">
      <x:c r="A5" s="19" t="str">
        <x:v>Ref</x:v>
      </x:c>
      <x:c r="B5" s="19" t="str">
        <x:v>Arayüz Etiketi</x:v>
      </x:c>
      <x:c r="C5" s="19" t="str">
        <x:v>Motor Parametresi / Birim</x:v>
      </x:c>
      <x:c r="D5" s="19" t="str">
        <x:v>Durum</x:v>
      </x:c>
      <x:c r="E5" s="19" t="str">
        <x:v>Not / Test Bağı</x:v>
      </x:c>
      <x:c r="F5" s="19" t="str">
        <x:v>Kaynak Sembolü</x:v>
      </x:c>
      <x:c r="G5" s="3"/>
      <x:c r="H5" s="3"/>
      <x:c r="I5" s="3"/>
      <x:c r="J5" s="3"/>
      <x:c r="K5" s="3"/>
      <x:c r="L5" s="3"/>
      <x:c r="M5" s="3"/>
    </x:row>
    <x:row r="6" ht="42" customHeight="1">
      <x:c r="A6" s="3" t="str">
        <x:v>P01</x:v>
      </x:c>
      <x:c r="B6" s="3" t="str">
        <x:v>Strateji kimliği</x:v>
      </x:c>
      <x:c r="C6" s="3" t="str">
        <x:v>Strategy_Type Int=9; Hft_Type Long=3; Is_Tavan_Mode Bool=true</x:v>
      </x:c>
      <x:c r="D6" s="3" t="str">
        <x:v>Eşleşiyor</x:v>
      </x:c>
      <x:c r="E6" s="3" t="str">
        <x:v>uniqueKey={instrument}_{account}_{id}_9; commandType1/Command_Type51.</x:v>
      </x:c>
      <x:c r="F6" s="3" t="str">
        <x:v>maxPricePayload; MaxPriceCommand</x:v>
      </x:c>
      <x:c r="G6" s="3"/>
      <x:c r="H6" s="3"/>
      <x:c r="I6" s="3"/>
      <x:c r="J6" s="3"/>
      <x:c r="K6" s="3"/>
      <x:c r="L6" s="3"/>
      <x:c r="M6" s="3"/>
    </x:row>
    <x:row r="7" ht="42" customHeight="1">
      <x:c r="A7" s="3" t="str">
        <x:v>P02</x:v>
      </x:c>
      <x:c r="B7" s="3" t="str">
        <x:v>Alış lot</x:v>
      </x:c>
      <x:c r="C7" s="3" t="str">
        <x:v>Melt_Lot Int / lot</x:v>
      </x:c>
      <x:c r="D7" s="3" t="str">
        <x:v>Eşleşiyor</x:v>
      </x:c>
      <x:c r="E7" s="3" t="str">
        <x:v>Lot modunda eşik; satış header lotu&lt;=eşik. Yüzde alanı0 olur.</x:v>
      </x:c>
      <x:c r="F7" s="3" t="str">
        <x:v>encodeMaxPriceSettings; shouldEnterPosition</x:v>
      </x:c>
      <x:c r="G7" s="3"/>
      <x:c r="H7" s="3"/>
      <x:c r="I7" s="3"/>
      <x:c r="J7" s="3"/>
      <x:c r="K7" s="3"/>
      <x:c r="L7" s="3"/>
      <x:c r="M7" s="3"/>
    </x:row>
    <x:row r="8" ht="42" customHeight="1">
      <x:c r="A8" s="3" t="str">
        <x:v>P03</x:v>
      </x:c>
      <x:c r="B8" s="3" t="str">
        <x:v>Alış yüzde</x:v>
      </x:c>
      <x:c r="C8" s="3" t="str">
        <x:v>Melt_Percentage Int / %</x:v>
      </x:c>
      <x:c r="D8" s="3" t="str">
        <x:v>Eşleşiyor</x:v>
      </x:c>
      <x:c r="E8" s="3" t="str">
        <x:v>Melt_Lot=0 iken görülen en yüksek tavan satış lotuna oran.</x:v>
      </x:c>
      <x:c r="F8" s="3" t="str">
        <x:v>encodeMaxPriceSettings; shouldEnterPosition</x:v>
      </x:c>
      <x:c r="G8" s="3"/>
      <x:c r="H8" s="3"/>
      <x:c r="I8" s="3"/>
      <x:c r="J8" s="3"/>
      <x:c r="K8" s="3"/>
      <x:c r="L8" s="3"/>
      <x:c r="M8" s="3"/>
    </x:row>
    <x:row r="9" ht="42" customHeight="1">
      <x:c r="A9" s="3" t="str">
        <x:v>P04</x:v>
      </x:c>
      <x:c r="B9" s="3" t="str">
        <x:v>Girilecek TL / Lot</x:v>
      </x:c>
      <x:c r="C9" s="3" t="str">
        <x:v>Tl_Size Int / TL; lot UI türevi</x:v>
      </x:c>
      <x:c r="D9" s="3" t="str">
        <x:v>ÇELİŞKİLİ</x:v>
      </x:c>
      <x:c r="E9" s="3" t="str">
        <x:v>GUI divider; motor floor(TL×1000/raw). Bir lot altı/1000 dışı R04/R05.</x:v>
      </x:c>
      <x:c r="F9" s="3" t="str">
        <x:v>calculateLotFromTl/toUnitPrice; openPosition/topUpToTargetIfShort</x:v>
      </x:c>
      <x:c r="G9" s="3"/>
      <x:c r="H9" s="3"/>
      <x:c r="I9" s="3"/>
      <x:c r="J9" s="3"/>
      <x:c r="K9" s="3"/>
      <x:c r="L9" s="3"/>
      <x:c r="M9" s="3"/>
    </x:row>
    <x:row r="10" ht="42" customHeight="1">
      <x:c r="A10" s="3" t="str">
        <x:v>P05</x:v>
      </x:c>
      <x:c r="B10" s="3" t="str">
        <x:v>Alınca lotu1 yap</x:v>
      </x:c>
      <x:c r="C10" s="3" t="str">
        <x:v>Is_Set_To_One Bool</x:v>
      </x:c>
      <x:c r="D10" s="3" t="str">
        <x:v>TEYİT BEKLİYOR</x:v>
      </x:c>
      <x:c r="E10" s="3" t="str">
        <x:v>Lot moduna özgü; girişte Melt_Lot=1 ve geri bildirim. Abonelik R15.</x:v>
      </x:c>
      <x:c r="F10" s="3" t="str">
        <x:v>encodeMaxPriceSettings; openPosition</x:v>
      </x:c>
      <x:c r="G10" s="3"/>
      <x:c r="H10" s="3"/>
      <x:c r="I10" s="3"/>
      <x:c r="J10" s="3"/>
      <x:c r="K10" s="3"/>
      <x:c r="L10" s="3"/>
      <x:c r="M10" s="3"/>
    </x:row>
    <x:row r="11" ht="42" customHeight="1">
      <x:c r="A11" s="3" t="str">
        <x:v>P06</x:v>
      </x:c>
      <x:c r="B11" s="3" t="str">
        <x:v>Başlat/durdur</x:v>
      </x:c>
      <x:c r="C11" s="3" t="str">
        <x:v>Strategy_Start Bool; Is_Running state</x:v>
      </x:c>
      <x:c r="D11" s="3" t="str">
        <x:v>Eşleşiyor</x:v>
      </x:c>
      <x:c r="E11" s="3" t="str">
        <x:v>Canlı MaxPriceState öncelikli; snapshot yokken tekli start engellenir.</x:v>
      </x:c>
      <x:c r="F11" s="3" t="str">
        <x:v>maxPricePayload/MaxPriceLiveState; setCommand</x:v>
      </x:c>
      <x:c r="G11" s="3"/>
      <x:c r="H11" s="3"/>
      <x:c r="I11" s="3"/>
      <x:c r="J11" s="3"/>
      <x:c r="K11" s="3"/>
      <x:c r="L11" s="3"/>
      <x:c r="M11" s="3"/>
    </x:row>
    <x:row r="12" ht="42" customHeight="1">
      <x:c r="A12" s="3" t="str">
        <x:v>P07</x:v>
      </x:c>
      <x:c r="B12" s="3" t="str">
        <x:v>Başlangıç saati</x:v>
      </x:c>
      <x:c r="C12" s="3" t="str">
        <x:v>Start_Time Long / günün saniyesi</x:v>
      </x:c>
      <x:c r="D12" s="3" t="str">
        <x:v>ÇELİŞKİLİ</x:v>
      </x:c>
      <x:c r="E12" s="3" t="str">
        <x:v>Parser36000; default settings600. Açık sınır Start&lt;t. R02/R06.</x:v>
      </x:c>
      <x:c r="F12" s="3" t="str">
        <x:v>MaxPriceCommand::getDefaultSettings; processItchEventTimed</x:v>
      </x:c>
      <x:c r="G12" s="3"/>
      <x:c r="H12" s="3"/>
      <x:c r="I12" s="3"/>
      <x:c r="J12" s="3"/>
      <x:c r="K12" s="3"/>
      <x:c r="L12" s="3"/>
      <x:c r="M12" s="3"/>
    </x:row>
    <x:row r="13" ht="42" customHeight="1">
      <x:c r="A13" s="3" t="str">
        <x:v>P08</x:v>
      </x:c>
      <x:c r="B13" s="3" t="str">
        <x:v>Bitiş saati</x:v>
      </x:c>
      <x:c r="C13" s="3" t="str">
        <x:v>End_Time Long giriş; Stop_Time Int snapshot</x:v>
      </x:c>
      <x:c r="D13" s="3" t="str">
        <x:v>ÇELİŞKİLİ</x:v>
      </x:c>
      <x:c r="E13" s="3" t="str">
        <x:v>Parser64800; default1200. Form/payload alias önceliği farklı; R02/R17.</x:v>
      </x:c>
      <x:c r="F13" s="3" t="str">
        <x:v>readMaxPriceStopTime/createMaxPricePayload; MaxPriceCommand</x:v>
      </x:c>
      <x:c r="G13" s="3"/>
      <x:c r="H13" s="3"/>
      <x:c r="I13" s="3"/>
      <x:c r="J13" s="3"/>
      <x:c r="K13" s="3"/>
      <x:c r="L13" s="3"/>
      <x:c r="M13" s="3"/>
    </x:row>
    <x:row r="14" ht="42" customHeight="1">
      <x:c r="A14" s="3" t="str">
        <x:v>P09</x:v>
      </x:c>
      <x:c r="B14" s="3" t="str">
        <x:v>İptal lot</x:v>
      </x:c>
      <x:c r="C14" s="3" t="str">
        <x:v>Cancel_Lot_Number Int / lot</x:v>
      </x:c>
      <x:c r="D14" s="3" t="str">
        <x:v>Eşleşiyor</x:v>
      </x:c>
      <x:c r="E14" s="3" t="str">
        <x:v>Alış header lotu&lt;=eşik çıkış; recover aynı eşikte&gt;= arar.</x:v>
      </x:c>
      <x:c r="F14" s="3" t="str">
        <x:v>shouldCancelPosition/shouldEnterPosition</x:v>
      </x:c>
      <x:c r="G14" s="3"/>
      <x:c r="H14" s="3"/>
      <x:c r="I14" s="3"/>
      <x:c r="J14" s="3"/>
      <x:c r="K14" s="3"/>
      <x:c r="L14" s="3"/>
      <x:c r="M14" s="3"/>
    </x:row>
    <x:row r="15" ht="42" customHeight="1">
      <x:c r="A15" s="3" t="str">
        <x:v>P10</x:v>
      </x:c>
      <x:c r="B15" s="3" t="str">
        <x:v>İptal yüzde</x:v>
      </x:c>
      <x:c r="C15" s="3" t="str">
        <x:v>Cancel_Percentage Int / %</x:v>
      </x:c>
      <x:c r="D15" s="3" t="str">
        <x:v>Eşleşiyor</x:v>
      </x:c>
      <x:c r="E15" s="3" t="str">
        <x:v>Lot0 ise max görülen alış lotuna oran; yüzde modunda recover kapısı R12.</x:v>
      </x:c>
      <x:c r="F15" s="3" t="str">
        <x:v>encodeMaxPriceSettings; shouldCancelPosition</x:v>
      </x:c>
      <x:c r="G15" s="3"/>
      <x:c r="H15" s="3"/>
      <x:c r="I15" s="3"/>
      <x:c r="J15" s="3"/>
      <x:c r="K15" s="3"/>
      <x:c r="L15" s="3"/>
      <x:c r="M15" s="3"/>
    </x:row>
    <x:row r="16" ht="42" customHeight="1">
      <x:c r="A16" s="3" t="str">
        <x:v>P11</x:v>
      </x:c>
      <x:c r="B16" s="3" t="str">
        <x:v>Tek fiyat</x:v>
      </x:c>
      <x:c r="C16" s="3" t="str">
        <x:v>Is_Cancel_Mode_One_Price Bool</x:v>
      </x:c>
      <x:c r="D16" s="3" t="str">
        <x:v>Eşleşiyor</x:v>
      </x:c>
      <x:c r="E16" s="3" t="str">
        <x:v>True çıkış satış limitini tavana kurar; anlık fill garantisi yok.</x:v>
      </x:c>
      <x:c r="F16" s="3" t="str">
        <x:v>cancelAlreadyExecutedOrders</x:v>
      </x:c>
      <x:c r="G16" s="3"/>
      <x:c r="H16" s="3"/>
      <x:c r="I16" s="3"/>
      <x:c r="J16" s="3"/>
      <x:c r="K16" s="3"/>
      <x:c r="L16" s="3"/>
      <x:c r="M16" s="3"/>
    </x:row>
    <x:row r="17" ht="42" customHeight="1">
      <x:c r="A17" s="3" t="str">
        <x:v>P12</x:v>
      </x:c>
      <x:c r="B17" s="3" t="str">
        <x:v>Aktif fiyat yüzde</x:v>
      </x:c>
      <x:c r="C17" s="3" t="str">
        <x:v>Activate_Percentage Int / binde</x:v>
      </x:c>
      <x:c r="D17" s="3" t="str">
        <x:v>Eşleşiyor</x:v>
      </x:c>
      <x:c r="E17" s="3" t="str">
        <x:v>Ekran%1,0→wire10; raw tavan×(1−10/1000), ticke aşağı.</x:v>
      </x:c>
      <x:c r="F17" s="3" t="str">
        <x:v>encodeMaxPriceSettings; activePercentageConverter</x:v>
      </x:c>
      <x:c r="G17" s="3"/>
      <x:c r="H17" s="3"/>
      <x:c r="I17" s="3"/>
      <x:c r="J17" s="3"/>
      <x:c r="K17" s="3"/>
      <x:c r="L17" s="3"/>
      <x:c r="M17" s="3"/>
    </x:row>
    <x:row r="18" ht="42" customHeight="1">
      <x:c r="A18" s="3" t="str">
        <x:v>P13</x:v>
      </x:c>
      <x:c r="B18" s="3" t="str">
        <x:v>Aktif fiyat kademe</x:v>
      </x:c>
      <x:c r="C18" s="3" t="str">
        <x:v>Cancel_Level_Number Int / kademe</x:v>
      </x:c>
      <x:c r="D18" s="3" t="str">
        <x:v>RİSK</x:v>
      </x:c>
      <x:c r="E18" s="3" t="str">
        <x:v>Tavan fiyatındaki tek tick×N çıkarılır; bant sınırı R14.</x:v>
      </x:c>
      <x:c r="F18" s="3" t="str">
        <x:v>cancelAlreadyExecutedOrders</x:v>
      </x:c>
      <x:c r="G18" s="3"/>
      <x:c r="H18" s="3"/>
      <x:c r="I18" s="3"/>
      <x:c r="J18" s="3"/>
      <x:c r="K18" s="3"/>
      <x:c r="L18" s="3"/>
      <x:c r="M18" s="3"/>
    </x:row>
    <x:row r="19" ht="42" customHeight="1">
      <x:c r="A19" s="3" t="str">
        <x:v>P14</x:v>
      </x:c>
      <x:c r="B19" s="3" t="str">
        <x:v>KIE sat</x:v>
      </x:c>
      <x:c r="C19" s="3" t="str">
        <x:v>Kie_Sell Bool</x:v>
      </x:c>
      <x:c r="D19" s="3" t="str">
        <x:v>Eşleşiyor</x:v>
      </x:c>
      <x:c r="E19" s="3" t="str">
        <x:v>Çıkış IOC, kapalı DAY. Kalan balance olabilir; girişler DAY.</x:v>
      </x:c>
      <x:c r="F19" s="3" t="str">
        <x:v>cancelAlreadyExecutedOrders/openPosition</x:v>
      </x:c>
      <x:c r="G19" s="3"/>
      <x:c r="H19" s="3"/>
      <x:c r="I19" s="3"/>
      <x:c r="J19" s="3"/>
      <x:c r="K19" s="3"/>
      <x:c r="L19" s="3"/>
      <x:c r="M19" s="3"/>
    </x:row>
    <x:row r="20" ht="42" customHeight="1">
      <x:c r="A20" s="3" t="str">
        <x:v>P15</x:v>
      </x:c>
      <x:c r="B20" s="3" t="str">
        <x:v>Saniye kuralı</x:v>
      </x:c>
      <x:c r="C20" s="3" t="str">
        <x:v>Second_Rule_Duration Long giriş, Int snapshot / ms</x:v>
      </x:c>
      <x:c r="D20" s="3" t="str">
        <x:v>Eşleşiyor</x:v>
      </x:c>
      <x:c r="E20" s="3" t="str">
        <x:v>Ekran1,250sn→1250ms; çıkış grace; timer+1ms, gerçek zaman garantisi değil.</x:v>
      </x:c>
      <x:c r="F20" s="3" t="str">
        <x:v>encodeMaxPriceSettings; shouldCancelPosition/openPosition</x:v>
      </x:c>
      <x:c r="G20" s="3"/>
      <x:c r="H20" s="3"/>
      <x:c r="I20" s="3"/>
      <x:c r="J20" s="3"/>
      <x:c r="K20" s="3"/>
      <x:c r="L20" s="3"/>
      <x:c r="M20" s="3"/>
    </x:row>
    <x:row r="21" ht="42" customHeight="1">
      <x:c r="A21" s="3" t="str">
        <x:v>P16</x:v>
      </x:c>
      <x:c r="B21" s="3" t="str">
        <x:v>Toplayınca geri gir</x:v>
      </x:c>
      <x:c r="C21" s="3" t="str">
        <x:v>Should_Recover Bool</x:v>
      </x:c>
      <x:c r="D21" s="3" t="str">
        <x:v>ÜRÜN KARARI</x:v>
      </x:c>
      <x:c r="E21" s="3" t="str">
        <x:v>Tavan durumu, pozisyon kapalı ve pozitif iptal lotu gerekir. R12.</x:v>
      </x:c>
      <x:c r="F21" s="3" t="str">
        <x:v>shouldEnterPosition</x:v>
      </x:c>
      <x:c r="G21" s="3"/>
      <x:c r="H21" s="3"/>
      <x:c r="I21" s="3"/>
      <x:c r="J21" s="3"/>
      <x:c r="K21" s="3"/>
      <x:c r="L21" s="3"/>
      <x:c r="M21" s="3"/>
    </x:row>
    <x:row r="22" ht="42" customHeight="1">
      <x:c r="A22" s="3" t="str">
        <x:v>P17</x:v>
      </x:c>
      <x:c r="B22" s="3" t="str">
        <x:v>Recover saniye kuralı</x:v>
      </x:c>
      <x:c r="C22" s="3" t="str">
        <x:v>Recover_Second_Rule Bool</x:v>
      </x:c>
      <x:c r="D22" s="3" t="str">
        <x:v>Eşleşiyor</x:v>
      </x:c>
      <x:c r="E22" s="3" t="str">
        <x:v>False recover girişinde çıkış graceini atlar; normal/restore ayrı.</x:v>
      </x:c>
      <x:c r="F22" s="3" t="str">
        <x:v>shouldCancelPosition; openPosition</x:v>
      </x:c>
      <x:c r="G22" s="3"/>
      <x:c r="H22" s="3"/>
      <x:c r="I22" s="3"/>
      <x:c r="J22" s="3"/>
      <x:c r="K22" s="3"/>
      <x:c r="L22" s="3"/>
      <x:c r="M22" s="3"/>
    </x:row>
    <x:row r="23" ht="42" customHeight="1">
      <x:c r="A23" s="3" t="str">
        <x:v>P18</x:v>
      </x:c>
      <x:c r="B23" s="3" t="str">
        <x:v>Tekrar giriş saniye</x:v>
      </x:c>
      <x:c r="C23" s="3" t="str">
        <x:v>Open_Position_Second_Rule Int /100ms</x:v>
      </x:c>
      <x:c r="D23" s="3" t="str">
        <x:v>ÇELİŞKİLİ</x:v>
      </x:c>
      <x:c r="E23" s="3" t="str">
        <x:v>Ekran0,5sn→wire5; level yolu bekler, header yolu R03.</x:v>
      </x:c>
      <x:c r="F23" s="3" t="str">
        <x:v>encodeMaxPriceSettings; shouldEnterPosition/processItchEventTimed</x:v>
      </x:c>
      <x:c r="G23" s="3"/>
      <x:c r="H23" s="3"/>
      <x:c r="I23" s="3"/>
      <x:c r="J23" s="3"/>
      <x:c r="K23" s="3"/>
      <x:c r="L23" s="3"/>
      <x:c r="M23" s="3"/>
    </x:row>
    <x:row r="24" ht="42" customHeight="1">
      <x:c r="A24" s="3" t="str">
        <x:v>P19</x:v>
      </x:c>
      <x:c r="B24" s="3" t="str">
        <x:v>Tolerans açık/sayı</x:v>
      </x:c>
      <x:c r="C24" s="3" t="str">
        <x:v>Cancel_Tolarence Int / kapatma sayısı</x:v>
      </x:c>
      <x:c r="D24" s="3" t="str">
        <x:v>ÇELİŞKİLİ</x:v>
      </x:c>
      <x:c r="E24" s="3" t="str">
        <x:v>GUI kapalı0; motor yalnız−1 sınırsız. R01; stop sayaç sıfırlamaz.</x:v>
      </x:c>
      <x:c r="F24" s="3" t="str">
        <x:v>encodeMaxPriceSettings; openPosition/closePosition/stop</x:v>
      </x:c>
      <x:c r="G24" s="3"/>
      <x:c r="H24" s="3"/>
      <x:c r="I24" s="3"/>
      <x:c r="J24" s="3"/>
      <x:c r="K24" s="3"/>
      <x:c r="L24" s="3"/>
      <x:c r="M24" s="3"/>
    </x:row>
    <x:row r="25" ht="42" customHeight="1">
      <x:c r="A25" s="3" t="str">
        <x:v>P20</x:v>
      </x:c>
      <x:c r="B25" s="3" t="str">
        <x:v>Alışla bitir</x:v>
      </x:c>
      <x:c r="C25" s="3" t="str">
        <x:v>Finish_With_Buy Bool</x:v>
      </x:c>
      <x:c r="D25" s="3" t="str">
        <x:v>Eşleşiyor</x:v>
      </x:c>
      <x:c r="E25" s="3" t="str">
        <x:v>Pozitif toleransta son alış denemesinden sonra stop; fill garantisi yok.</x:v>
      </x:c>
      <x:c r="F25" s="3" t="str">
        <x:v>setCommand/openPosition</x:v>
      </x:c>
      <x:c r="G25" s="3"/>
      <x:c r="H25" s="3"/>
      <x:c r="I25" s="3"/>
      <x:c r="J25" s="3"/>
      <x:c r="K25" s="3"/>
      <x:c r="L25" s="3"/>
      <x:c r="M25" s="3"/>
    </x:row>
    <x:row r="26" ht="42" customHeight="1">
      <x:c r="A26" s="3" t="str">
        <x:v>P21</x:v>
      </x:c>
      <x:c r="B26" s="3" t="str">
        <x:v>Süpür</x:v>
      </x:c>
      <x:c r="C26" s="3" t="str">
        <x:v>Should_Sweep Bool</x:v>
      </x:c>
      <x:c r="D26" s="3" t="str">
        <x:v>Eşleşiyor</x:v>
      </x:c>
      <x:c r="E26" s="3" t="str">
        <x:v>GUI pozitif Melt_Lot zorunlu tutar; motor başka istemci için aynı kapıyı koymaz. Eşik ve TL hedefi ayrı.</x:v>
      </x:c>
      <x:c r="F26" s="3" t="str">
        <x:v>maxPricePayload; shouldEnterPosition</x:v>
      </x:c>
      <x:c r="G26" s="3"/>
      <x:c r="H26" s="3"/>
      <x:c r="I26" s="3"/>
      <x:c r="J26" s="3"/>
      <x:c r="K26" s="3"/>
      <x:c r="L26" s="3"/>
      <x:c r="M26" s="3"/>
    </x:row>
    <x:row r="27" ht="42" customHeight="1">
      <x:c r="A27" s="3" t="str">
        <x:v>P22</x:v>
      </x:c>
      <x:c r="B27" s="3" t="str">
        <x:v>Maksimum alışta gir</x:v>
      </x:c>
      <x:c r="C27" s="3" t="str">
        <x:v>Max_Size_Buy_Enter Bool</x:v>
      </x:c>
      <x:c r="D27" s="3" t="str">
        <x:v>Eşleşiyor</x:v>
      </x:c>
      <x:c r="E27" s="3" t="str">
        <x:v>Agresif alış SDK sinyali normal erimeyi beklemez; arm mesafesi development.</x:v>
      </x:c>
      <x:c r="F27" s="3" t="str">
        <x:v>syncMomentumParams/shouldEnterPosition</x:v>
      </x:c>
      <x:c r="G27" s="3"/>
      <x:c r="H27" s="3"/>
      <x:c r="I27" s="3"/>
      <x:c r="J27" s="3"/>
      <x:c r="K27" s="3"/>
      <x:c r="L27" s="3"/>
      <x:c r="M27" s="3"/>
    </x:row>
    <x:row r="28" ht="42" customHeight="1">
      <x:c r="A28" s="3" t="str">
        <x:v>P23</x:v>
      </x:c>
      <x:c r="B28" s="3" t="str">
        <x:v>Maksimum alış yüzdesi</x:v>
      </x:c>
      <x:c r="C28" s="3" t="str">
        <x:v>Max_Size_Buy_Enter_Percentage Int /%</x:v>
      </x:c>
      <x:c r="D28" s="3" t="str">
        <x:v>Eşleşiyor</x:v>
      </x:c>
      <x:c r="E28" s="3" t="str">
        <x:v>Development0 tamcap, pozitif oran (100 üzeri dahil); capin%1i düşülür.</x:v>
      </x:c>
      <x:c r="F28" s="3" t="str">
        <x:v>maxOrderQtyAtTavan</x:v>
      </x:c>
      <x:c r="G28" s="3"/>
      <x:c r="H28" s="3"/>
      <x:c r="I28" s="3"/>
      <x:c r="J28" s="3"/>
      <x:c r="K28" s="3"/>
      <x:c r="L28" s="3"/>
      <x:c r="M28" s="3"/>
    </x:row>
    <x:row r="29" ht="42" customHeight="1">
      <x:c r="A29" s="3" t="str">
        <x:v>P24</x:v>
      </x:c>
      <x:c r="B29" s="3" t="str">
        <x:v>Alış momentum pencere</x:v>
      </x:c>
      <x:c r="C29" s="3" t="str">
        <x:v>Max_Size_Buy_Enter_Delta Int /ns</x:v>
      </x:c>
      <x:c r="D29" s="3" t="str">
        <x:v>Eşleşiyor</x:v>
      </x:c>
      <x:c r="E29" s="3" t="str">
        <x:v>Ekranµs×1000;0 aynı timestamp; kapalı takipte0. Master alanı yok.</x:v>
      </x:c>
      <x:c r="F29" s="3" t="str">
        <x:v>encodeMaxPriceSettings/syncMomentumParams</x:v>
      </x:c>
      <x:c r="G29" s="3"/>
      <x:c r="H29" s="3"/>
      <x:c r="I29" s="3"/>
      <x:c r="J29" s="3"/>
      <x:c r="K29" s="3"/>
      <x:c r="L29" s="3"/>
      <x:c r="M29" s="3"/>
    </x:row>
    <x:row r="30" ht="42" customHeight="1">
      <x:c r="A30" s="3" t="str">
        <x:v>P25</x:v>
      </x:c>
      <x:c r="B30" s="3" t="str">
        <x:v>Alış kriter kademe</x:v>
      </x:c>
      <x:c r="C30" s="3" t="str">
        <x:v>Max_Size_Buy_Enter_Levels Int /kademe</x:v>
      </x:c>
      <x:c r="D30" s="3" t="str">
        <x:v>Eşleşiyor</x:v>
      </x:c>
      <x:c r="E30" s="3" t="str">
        <x:v>0 yalnız tavan; arm fiyatı tickler yürünerek hesaplanır. Çözülemezse tavana döner.</x:v>
      </x:c>
      <x:c r="F30" s="3" t="str">
        <x:v>syncMomentumParams</x:v>
      </x:c>
      <x:c r="G30" s="3"/>
      <x:c r="H30" s="3"/>
      <x:c r="I30" s="3"/>
      <x:c r="J30" s="3"/>
      <x:c r="K30" s="3"/>
      <x:c r="L30" s="3"/>
      <x:c r="M30" s="3"/>
    </x:row>
    <x:row r="31" ht="42" customHeight="1">
      <x:c r="A31" s="3" t="str">
        <x:v>P26</x:v>
      </x:c>
      <x:c r="B31" s="3" t="str">
        <x:v>Maksimum satışta kaç</x:v>
      </x:c>
      <x:c r="C31" s="3" t="str">
        <x:v>Max_Size_Sell_Exit Bool</x:v>
      </x:c>
      <x:c r="D31" s="3" t="str">
        <x:v>TEYİT BEKLİYOR</x:v>
      </x:c>
      <x:c r="E31" s="3" t="str">
        <x:v>Tavanda agresif satış sinyali sert çıkış; grace önceliği R13.</x:v>
      </x:c>
      <x:c r="F31" s="3" t="str">
        <x:v>processItchEventTimed</x:v>
      </x:c>
      <x:c r="G31" s="3"/>
      <x:c r="H31" s="3"/>
      <x:c r="I31" s="3"/>
      <x:c r="J31" s="3"/>
      <x:c r="K31" s="3"/>
      <x:c r="L31" s="3"/>
      <x:c r="M31" s="3"/>
    </x:row>
    <x:row r="32" ht="42" customHeight="1">
      <x:c r="A32" s="3" t="str">
        <x:v>P27</x:v>
      </x:c>
      <x:c r="B32" s="3" t="str">
        <x:v>Maksimum satış yüzdesi</x:v>
      </x:c>
      <x:c r="C32" s="3" t="str">
        <x:v>Max_Size_Sell_Exit_Percentage Int /%</x:v>
      </x:c>
      <x:c r="D32" s="3" t="str">
        <x:v>Eşleşiyor</x:v>
      </x:c>
      <x:c r="E32" s="3" t="str">
        <x:v>Alıştan ayrı threshold; development pozitif yüzdeyi ölçekler.</x:v>
      </x:c>
      <x:c r="F32" s="3" t="str">
        <x:v>maxOrderQtyAtTavan/syncMomentumParams</x:v>
      </x:c>
      <x:c r="G32" s="3"/>
      <x:c r="H32" s="3"/>
      <x:c r="I32" s="3"/>
      <x:c r="J32" s="3"/>
      <x:c r="K32" s="3"/>
      <x:c r="L32" s="3"/>
      <x:c r="M32" s="3"/>
    </x:row>
    <x:row r="33" ht="42" customHeight="1">
      <x:c r="A33" s="3" t="str">
        <x:v>P28</x:v>
      </x:c>
      <x:c r="B33" s="3" t="str">
        <x:v>Satış momentum pencere</x:v>
      </x:c>
      <x:c r="C33" s="3" t="str">
        <x:v>Max_Size_Sell_Exit_Delta Int /ns</x:v>
      </x:c>
      <x:c r="D33" s="3" t="str">
        <x:v>Eşleşiyor</x:v>
      </x:c>
      <x:c r="E33" s="3" t="str">
        <x:v>Ekranµs×1000; alış/satış gate hata politikası aynı değildir.</x:v>
      </x:c>
      <x:c r="F33" s="3" t="str">
        <x:v>encodeMaxPriceSettings/syncMomentumParams</x:v>
      </x:c>
      <x:c r="G33" s="3"/>
      <x:c r="H33" s="3"/>
      <x:c r="I33" s="3"/>
      <x:c r="J33" s="3"/>
      <x:c r="K33" s="3"/>
      <x:c r="L33" s="3"/>
      <x:c r="M33" s="3"/>
    </x:row>
    <x:row r="34" ht="42" customHeight="1">
      <x:c r="A34" s="3" t="str">
        <x:v>P29</x:v>
      </x:c>
      <x:c r="B34" s="3" t="str">
        <x:v>Olağan dışı süre</x:v>
      </x:c>
      <x:c r="C34" s="3" t="str">
        <x:v>Escape_Time Int /sn</x:v>
      </x:c>
      <x:c r="D34" s="3" t="str">
        <x:v>Eşleşiyor</x:v>
      </x:c>
      <x:c r="E34" s="3" t="str">
        <x:v>0 kapalı; örnek en azT/en çok2T eski; yeterli geçmiş yoksa giriş reddi.</x:v>
      </x:c>
      <x:c r="F34" s="3" t="str">
        <x:v>sampleEscapePrice/escapeDeceptionRejects</x:v>
      </x:c>
      <x:c r="G34" s="3"/>
      <x:c r="H34" s="3"/>
      <x:c r="I34" s="3"/>
      <x:c r="J34" s="3"/>
      <x:c r="K34" s="3"/>
      <x:c r="L34" s="3"/>
      <x:c r="M34" s="3"/>
    </x:row>
    <x:row r="35" ht="42" customHeight="1">
      <x:c r="A35" s="3" t="str">
        <x:v>P30</x:v>
      </x:c>
      <x:c r="B35" s="3" t="str">
        <x:v>Olağan dışı yüzde</x:v>
      </x:c>
      <x:c r="C35" s="3" t="str">
        <x:v>Escape_Percentage Int /on binde</x:v>
      </x:c>
      <x:c r="D35" s="3" t="str">
        <x:v>Eşleşiyor</x:v>
      </x:c>
      <x:c r="E35" s="3" t="str">
        <x:v>Ekran%5,00→500; eşik tavan×(10000−500)/10000.</x:v>
      </x:c>
      <x:c r="F35" s="3" t="str">
        <x:v>encodeMaxPriceSettings/calculateEscapeDeseption</x:v>
      </x:c>
      <x:c r="G35" s="3"/>
      <x:c r="H35" s="3"/>
      <x:c r="I35" s="3"/>
      <x:c r="J35" s="3"/>
      <x:c r="K35" s="3"/>
      <x:c r="L35" s="3"/>
      <x:c r="M35" s="3"/>
    </x:row>
    <x:row r="36" ht="42" customHeight="1">
      <x:c r="A36" s="3" t="str">
        <x:v>P31</x:v>
      </x:c>
      <x:c r="B36" s="3" t="str">
        <x:v>Önce kapat</x:v>
      </x:c>
      <x:c r="C36" s="3" t="str">
        <x:v>Close_Position_First Bool</x:v>
      </x:c>
      <x:c r="D36" s="3" t="str">
        <x:v>ÜRÜN KARARI</x:v>
      </x:c>
      <x:c r="E36" s="3" t="str">
        <x:v>Başlangıç pozisyon niyeti; gerçek balance/depth restore edilir. Toplu ayardan dışlanır; anında satış komutu değildir.</x:v>
      </x:c>
      <x:c r="F36" s="3" t="str">
        <x:v>MAX_PRICE_BULK_RESTRICTED_FIELDS; setCommand/restorePositionState</x:v>
      </x:c>
      <x:c r="G36" s="3"/>
      <x:c r="H36" s="3"/>
      <x:c r="I36" s="3"/>
      <x:c r="J36" s="3"/>
      <x:c r="K36" s="3"/>
      <x:c r="L36" s="3"/>
      <x:c r="M36" s="3"/>
    </x:row>
    <x:row r="37" ht="42" customHeight="1">
      <x:c r="A37" s="3" t="str">
        <x:v>P32</x:v>
      </x:c>
      <x:c r="B37" s="3" t="str">
        <x:v>Pozisyon ekle</x:v>
      </x:c>
      <x:c r="C37" s="3" t="str">
        <x:v>commandType3 / miktar, yön, fiyat</x:v>
      </x:c>
      <x:c r="D37" s="3" t="str">
        <x:v>TEYİT BEKLİYOR</x:v>
      </x:c>
      <x:c r="E37" s="3" t="str">
        <x:v>Ortak pozisyon ekleme akışı; maliyet/ölçek ve strateji9 eşleşmesi uçtan uca teyit.</x:v>
      </x:c>
      <x:c r="F37" s="3" t="str">
        <x:v>addPositionCommand; MaxPriceTrackerForm/updatePosition</x:v>
      </x:c>
      <x:c r="G37" s="3"/>
      <x:c r="H37" s="3"/>
      <x:c r="I37" s="3"/>
      <x:c r="J37" s="3"/>
      <x:c r="K37" s="3"/>
      <x:c r="L37" s="3"/>
      <x:c r="M37" s="3"/>
    </x:row>
    <x:row r="38" ht="42" customHeight="1">
      <x:c r="A38" s="3" t="str">
        <x:v>P33</x:v>
      </x:c>
      <x:c r="B38" s="3" t="str">
        <x:v>Gizli hacim iptal</x:v>
      </x:c>
      <x:c r="C38" s="3" t="str">
        <x:v>Cancel_Time Int /100ms; Cancel_Volume_Ratio Int</x:v>
      </x:c>
      <x:c r="D38" s="3" t="str">
        <x:v>RİSK</x:v>
      </x:c>
      <x:c r="E38" s="3" t="str">
        <x:v>Formda yok; payload mevcut değeri taşır; bir alan0 ise kapalı. K-63/R20.</x:v>
      </x:c>
      <x:c r="F38" s="3" t="str">
        <x:v>maxPricePayload; shouldCancelPositionViaVolume</x:v>
      </x:c>
      <x:c r="G38" s="3"/>
      <x:c r="H38" s="3"/>
      <x:c r="I38" s="3"/>
      <x:c r="J38" s="3"/>
      <x:c r="K38" s="3"/>
      <x:c r="L38" s="3"/>
      <x:c r="M38" s="3"/>
    </x:row>
    <x:row r="39" ht="42" customHeight="1">
      <x:c r="A39" s="3" t="str">
        <x:v>P34</x:v>
      </x:c>
      <x:c r="B39" s="3" t="str">
        <x:v>Hot/cold</x:v>
      </x:c>
      <x:c r="C39" s="3" t="str">
        <x:v>hotWorkerCount ve HftMaxPriceTier* config</x:v>
      </x:c>
      <x:c r="D39" s="3" t="str">
        <x:v>TEYİT BEKLİYOR</x:v>
      </x:c>
      <x:c r="E39" s="3" t="str">
        <x:v>GUI ayarı değil; promote/demote/cooldown ortam configiyle test edilir.</x:v>
      </x:c>
      <x:c r="F39" s="3" t="str">
        <x:v>setupTieringSubscription/promoteTier/demoteTier</x:v>
      </x:c>
      <x:c r="G39" s="3"/>
      <x:c r="H39" s="3"/>
      <x:c r="I39" s="3"/>
      <x:c r="J39" s="3"/>
      <x:c r="K39" s="3"/>
      <x:c r="L39" s="3"/>
      <x:c r="M39" s="3"/>
    </x:row>
    <x:row r="40" ht="54" customHeight="1">
      <x:c r="A40" s="3" t="str">
        <x:v>P35</x:v>
      </x:c>
      <x:c r="B40" s="3" t="str">
        <x:v>Canlı durum</x:v>
      </x:c>
      <x:c r="C40" s="3" t="str">
        <x:v>Tavan_State; Cancel_Number_For_Tolerance; Is_Position_Open; Is_Running; Has_Passive_Sell_Order; Has_Passive_Buy_Order_At_Tavan</x:v>
      </x:c>
      <x:c r="D40" s="3" t="str">
        <x:v>Eşleşiyor</x:v>
      </x:c>
      <x:c r="E40" s="3" t="str">
        <x:v>Ayar snapshotından ayrı MaxPriceState; yeni GUI pasif satış alanını soneksiz okur.</x:v>
      </x:c>
      <x:c r="F40" s="3" t="str">
        <x:v>MaxPriceStateCommand; CommandSocket/maxPriceStateStore</x:v>
      </x:c>
      <x:c r="G40" s="3"/>
      <x:c r="H40" s="3"/>
      <x:c r="I40" s="3"/>
      <x:c r="J40" s="3"/>
      <x:c r="K40" s="3"/>
      <x:c r="L40" s="3"/>
      <x:c r="M40" s="3"/>
    </x:row>
    <x:row r="41" ht="42" customHeight="1">
      <x:c r="A41" s="3" t="str">
        <x:v>P36</x:v>
      </x:c>
      <x:c r="B41" s="3" t="str">
        <x:v>Eski kâr yüzdesi</x:v>
      </x:c>
      <x:c r="C41" s="3" t="str">
        <x:v>Profit_Percentage Int</x:v>
      </x:c>
      <x:c r="D41" s="3" t="str">
        <x:v>KULLANILMIYOR</x:v>
      </x:c>
      <x:c r="E41" s="3" t="str">
        <x:v>Parser/snapshot ve üye ataması var; kararda okunmaz; yeni GUI göndermez.</x:v>
      </x:c>
      <x:c r="F41" s="3" t="str">
        <x:v>MaxPriceCommand; HftMaxPrice::setCommand</x:v>
      </x:c>
      <x:c r="G41" s="3"/>
      <x:c r="H41" s="3"/>
      <x:c r="I41" s="3"/>
      <x:c r="J41" s="3"/>
      <x:c r="K41" s="3"/>
      <x:c r="L41" s="3"/>
      <x:c r="M41" s="3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81a8226869f54e1d"/>
  </x:tableParts>
</x:worksheet>
</file>

<file path=xl/worksheets/sheet5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defaultRowHeight="15"/>
  <x:cols>
    <x:col min="1" max="1" width="21" hidden="0" customWidth="1"/>
    <x:col min="2" max="2" width="22" hidden="0" customWidth="1"/>
    <x:col min="3" max="3" width="15" hidden="0" customWidth="1"/>
    <x:col min="4" max="4" width="24" hidden="0" customWidth="1"/>
    <x:col min="5" max="5" width="46" hidden="0" customWidth="1"/>
    <x:col min="6" max="6" width="57" hidden="0" customWidth="1"/>
    <x:col min="7" max="7" width="57" hidden="0" customWidth="1"/>
    <x:col min="8" max="8" width="40" hidden="0" customWidth="1"/>
    <x:col min="9" max="9" width="34" hidden="0" customWidth="1"/>
    <x:col min="10" max="10" width="15" hidden="0" customWidth="1"/>
    <x:col min="11" max="11" width="13" hidden="0" customWidth="1"/>
    <x:col min="12" max="12" width="53" hidden="0" customWidth="1"/>
    <x:col min="13" max="13" width="24" hidden="0" customWidth="1"/>
  </x:cols>
  <x:sheetData>
    <x:row r="1" ht="25" customHeight="1">
      <x:c r="A1" s="16" t="str">
        <x:v>Sonuç</x:v>
      </x:c>
      <x:c r="B1" s="16" t="str">
        <x:v>Ortam</x:v>
      </x:c>
      <x:c r="C1" s="16" t="str">
        <x:v>Öncelik</x:v>
      </x:c>
      <x:c r="D1" s="16" t="str">
        <x:v>Durum</x:v>
      </x:c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3" t="str">
        <x:v>Test Edilmedi</x:v>
      </x:c>
      <x:c r="B2" s="3" t="str">
        <x:v>Test</x:v>
      </x:c>
      <x:c r="C2" s="3" t="str">
        <x:v>Yüksek</x:v>
      </x:c>
      <x:c r="D2" s="3" t="str">
        <x:v>AÇIK</x:v>
      </x:c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3" t="str">
        <x:v>Test Ediliyor</x:v>
      </x:c>
      <x:c r="B3" s="3" t="str">
        <x:v>Replay/Harness</x:v>
      </x:c>
      <x:c r="C3" s="3" t="str">
        <x:v>Orta</x:v>
      </x:c>
      <x:c r="D3" s="3" t="str">
        <x:v>RİSK</x:v>
      </x:c>
      <x:c r="E3" s="3"/>
      <x:c r="F3" s="3"/>
      <x:c r="G3" s="3"/>
      <x:c r="H3" s="3"/>
      <x:c r="I3" s="3"/>
      <x:c r="J3" s="3"/>
      <x:c r="K3" s="3"/>
      <x:c r="L3" s="3"/>
      <x:c r="M3" s="3"/>
    </x:row>
    <x:row r="4" ht="25" customHeight="1">
      <x:c r="A4" s="3" t="str">
        <x:v>Başarılı</x:v>
      </x:c>
      <x:c r="B4" s="3" t="str">
        <x:v>Preprod</x:v>
      </x:c>
      <x:c r="C4" s="3" t="str">
        <x:v>Az</x:v>
      </x:c>
      <x:c r="D4" s="3" t="str">
        <x:v>TEYİT BEKLİYOR</x:v>
      </x:c>
      <x:c r="E4" s="3"/>
      <x:c r="F4" s="3"/>
      <x:c r="G4" s="3"/>
      <x:c r="H4" s="3"/>
      <x:c r="I4" s="3"/>
      <x:c r="J4" s="3"/>
      <x:c r="K4" s="3"/>
      <x:c r="L4" s="3"/>
      <x:c r="M4" s="3"/>
    </x:row>
    <x:row r="5" ht="25" customHeight="1">
      <x:c r="A5" s="3" t="str">
        <x:v>Başarısız</x:v>
      </x:c>
      <x:c r="B5" s="3" t="str">
        <x:v>Prod</x:v>
      </x:c>
      <x:c r="C5" s="3" t="str"/>
      <x:c r="D5" s="3" t="str">
        <x:v>ÜRÜN KARARI</x:v>
      </x:c>
      <x:c r="E5" s="3"/>
      <x:c r="F5" s="3"/>
      <x:c r="G5" s="3"/>
      <x:c r="H5" s="3"/>
      <x:c r="I5" s="3"/>
      <x:c r="J5" s="3"/>
      <x:c r="K5" s="3"/>
      <x:c r="L5" s="3"/>
      <x:c r="M5" s="3"/>
    </x:row>
    <x:row r="6" ht="25" customHeight="1">
      <x:c r="A6" s="3" t="str">
        <x:v>Bloke</x:v>
      </x:c>
      <x:c r="B6" s="3" t="str"/>
      <x:c r="C6" s="3" t="str"/>
      <x:c r="D6" s="3" t="str">
        <x:v>REGRESYON</x:v>
      </x:c>
      <x:c r="E6" s="3"/>
      <x:c r="F6" s="3"/>
      <x:c r="G6" s="3"/>
      <x:c r="H6" s="3"/>
      <x:c r="I6" s="3"/>
      <x:c r="J6" s="3"/>
      <x:c r="K6" s="3"/>
      <x:c r="L6" s="3"/>
      <x:c r="M6" s="3"/>
    </x:row>
    <x:row r="7" ht="25" customHeight="1">
      <x:c r="A7" s="3" t="str">
        <x:v>Kısmen</x:v>
      </x:c>
      <x:c r="B7" s="3" t="str"/>
      <x:c r="C7" s="3" t="str"/>
      <x:c r="D7" s="3" t="str">
        <x:v>KAPSAM DIŞI</x:v>
      </x:c>
      <x:c r="E7" s="3"/>
      <x:c r="F7" s="3"/>
      <x:c r="G7" s="3"/>
      <x:c r="H7" s="3"/>
      <x:c r="I7" s="3"/>
      <x:c r="J7" s="3"/>
      <x:c r="K7" s="3"/>
      <x:c r="L7" s="3"/>
      <x:c r="M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</x:row>
  </x:sheetData>
  <x:pageMargins left="0.7" right="0.7" top="0.75" bottom="0.75" header="0.3" footer="0.3"/>
</x:worksheet>
</file>