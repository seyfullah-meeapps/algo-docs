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yf\Desktop\"/>
    </mc:Choice>
  </mc:AlternateContent>
  <xr:revisionPtr revIDLastSave="0" documentId="13_ncr:1_{C0DD36B9-F7A6-413A-8FE7-DA7199D0980F}" xr6:coauthVersionLast="47" xr6:coauthVersionMax="47" xr10:uidLastSave="{00000000-0000-0000-0000-000000000000}"/>
  <bookViews>
    <workbookView xWindow="-120" yWindow="-120" windowWidth="29040" windowHeight="15720" tabRatio="500" activeTab="1" xr2:uid="{00000000-000D-0000-FFFF-FFFF00000000}"/>
  </bookViews>
  <sheets>
    <sheet name="Genel" sheetId="1" r:id="rId1"/>
    <sheet name="Arbitraj Senaryoları" sheetId="2" r:id="rId2"/>
    <sheet name="Ayar Rehberi" sheetId="4" r:id="rId4"/>
    <sheet name="Listeler" sheetId="5" state="hidden" r:id="rId5"/>
  </sheets>
  <definedNames>
    <definedName name="_xlnm._FilterDatabase" localSheetId="1" hidden="1">'Arbitraj Senaryoları'!$A$18:$M$65</definedName>
    <definedName name="_xlnm._FilterDatabase" localSheetId="0" hidden="1">Genel!$A$19:$M$24</definedName>
    <definedName name="_xlnm._FilterDatabase" localSheetId="2" hidden="1">'Ayar Rehberi'!$A$5:$F$43</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 i="1"/>
  <c r="J2" i="1"/>
  <c r="L2" i="1"/>
  <c r="H3" i="1"/>
  <c r="J3" i="1"/>
  <c r="L3" i="1"/>
  <c r="H4" i="1"/>
  <c r="J4" i="1"/>
  <c r="H2" i="2"/>
  <c r="J2" i="2"/>
  <c r="L2" i="2"/>
  <c r="H3" i="2"/>
  <c r="J3" i="2"/>
  <c r="L3" i="2"/>
  <c r="H4" i="2"/>
  <c r="J4" i="2"/>
  <c r="H2" i="3"/>
  <c r="J2" i="3"/>
  <c r="L2" i="3"/>
  <c r="H3" i="3"/>
  <c r="J3" i="3"/>
  <c r="L3" i="3"/>
  <c r="H4" i="3"/>
  <c r="J4" i="3"/>
</calcChain>
</file>

<file path=xl/sharedStrings.xml><?xml version="1.0" encoding="utf-8"?>
<sst xmlns="http://schemas.openxmlformats.org/spreadsheetml/2006/main" count="1270" uniqueCount="941">
  <si>
    <t>MEEAPPS</t>
  </si>
  <si>
    <t>Proje Adı:</t>
  </si>
  <si>
    <t>MTrader</t>
  </si>
  <si>
    <t>Testi Hazırlayan:</t>
  </si>
  <si>
    <t>ÖZET</t>
  </si>
  <si>
    <t>Modül Adı:</t>
  </si>
  <si>
    <t/>
  </si>
  <si>
    <t>Hazırlama Tarihi:</t>
  </si>
  <si>
    <t>Toplam</t>
  </si>
  <si>
    <t>Bölüm:</t>
  </si>
  <si>
    <t/>
  </si>
  <si>
    <t>Testi Yapan:</t>
  </si>
  <si>
    <t>Başarılı</t>
  </si>
  <si>
    <t/>
  </si>
  <si>
    <t/>
  </si>
  <si>
    <t>Test Tarihi:</t>
  </si>
  <si>
    <t>Başarısız</t>
  </si>
  <si>
    <t>Genel Ön Koşul:</t>
  </si>
  <si>
    <t/>
  </si>
  <si>
    <t/>
  </si>
  <si>
    <t/>
  </si>
  <si>
    <t/>
  </si>
  <si>
    <t/>
  </si>
  <si>
    <t>TEST EDENİN BİLMESİ GEREKENLER</t>
  </si>
  <si>
    <t/>
  </si>
  <si>
    <t/>
  </si>
  <si>
    <t/>
  </si>
  <si>
    <t/>
  </si>
  <si>
    <t/>
  </si>
  <si>
    <t/>
  </si>
  <si>
    <t/>
  </si>
  <si>
    <t/>
  </si>
  <si>
    <t/>
  </si>
  <si>
    <t/>
  </si>
  <si>
    <t/>
  </si>
  <si>
    <t/>
  </si>
  <si>
    <t>Test ID</t>
  </si>
  <si>
    <t>Sonuç</t>
  </si>
  <si>
    <t/>
  </si>
  <si>
    <t>Test Senaryosu</t>
  </si>
  <si>
    <t>Ön Koşullar</t>
  </si>
  <si>
    <t>Test Adımları</t>
  </si>
  <si>
    <t>Beklenen Sonuç</t>
  </si>
  <si>
    <t>Gerçekleşen Sonuç</t>
  </si>
  <si>
    <t/>
  </si>
  <si>
    <t>Ortam</t>
  </si>
  <si>
    <t>Öncelik</t>
  </si>
  <si>
    <t/>
  </si>
  <si>
    <t>Ekler</t>
  </si>
  <si>
    <t>TC-ARB-G01</t>
  </si>
  <si>
    <t/>
  </si>
  <si>
    <t/>
  </si>
  <si>
    <t/>
  </si>
  <si>
    <t/>
  </si>
  <si>
    <t/>
  </si>
  <si>
    <t/>
  </si>
  <si>
    <t>Prod</t>
  </si>
  <si>
    <t>Yüksek</t>
  </si>
  <si>
    <t/>
  </si>
  <si>
    <t>TC-ARB-G02</t>
  </si>
  <si>
    <t/>
  </si>
  <si>
    <t/>
  </si>
  <si>
    <t/>
  </si>
  <si>
    <t/>
  </si>
  <si>
    <t/>
  </si>
  <si>
    <t/>
  </si>
  <si>
    <t>TC-ARB-G03</t>
  </si>
  <si>
    <t/>
  </si>
  <si>
    <t/>
  </si>
  <si>
    <t/>
  </si>
  <si>
    <t/>
  </si>
  <si>
    <t/>
  </si>
  <si>
    <t/>
  </si>
  <si>
    <t>TC-ARB-G04</t>
  </si>
  <si>
    <t/>
  </si>
  <si>
    <t/>
  </si>
  <si>
    <t/>
  </si>
  <si>
    <t/>
  </si>
  <si>
    <t/>
  </si>
  <si>
    <t>Test</t>
  </si>
  <si>
    <t/>
  </si>
  <si>
    <t>TC-ARB-G05</t>
  </si>
  <si>
    <t/>
  </si>
  <si>
    <t/>
  </si>
  <si>
    <t/>
  </si>
  <si>
    <t/>
  </si>
  <si>
    <t/>
  </si>
  <si>
    <t>Customer/Prod</t>
  </si>
  <si>
    <t>Orta</t>
  </si>
  <si>
    <t/>
  </si>
  <si>
    <t/>
  </si>
  <si>
    <t/>
  </si>
  <si>
    <t/>
  </si>
  <si>
    <t>Referans ayarlar (RA)</t>
  </si>
  <si>
    <t>Faiz Arbitraj · Açığa Satış: Yasak · İşlem Tipi: Pasif · Kanal: Ouch · Satış Tipi: Sell · Başlangıç 10:00 · Bitiş 18:00 · Baz Faiz 0 · Satış Hedef Faiz 35 · Satış Kapatma Faiz 29 · Kontrat Limiti 4 · Paket Limiti 1 · Kontrat Kapatma Limiti 2 · Paket Kapatma Limiti 1 · Stop Loss: Kademe 3, Saniye 300, Pasif · Diğer ayarlar varsayılan. Senaryolarda 'RA' bu ayar setini, 'RA + X' yalnızca X'in değiştiğini gösterir.</t>
  </si>
  <si>
    <t>Yön</t>
  </si>
  <si>
    <t>RA ile strateji yalnızca 'vadeli sat + spot al' yönünde çalışır; ters yön ('vadeli al + spot sat') spot satış gerektirdiği için Açığa Satış Yasak iken kapalıdır. Faiz türünde hangi yöne bakılacağını vadelinin teorik fiyatın üstünde mi altında mı olduğu belirler; Baz Faiz 0 iken teorik fiyat spot fiyata eşittir.</t>
  </si>
  <si>
    <t>Pasif akış</t>
  </si>
  <si>
    <t>Pasif modda vadeli emir, koşul oluşmasını beklemeden tahtaya konur: fiyatı, piyasadaki faiz Satış Hedef Faiz'e ulaştığında dolacak şekilde hesaplanır ve spot fiyat her değiştiğinde güncellenir. Vadeli emir dolunca kontrat × 100 lot spot emri ters yönde gönderilir; her gerçekleşme bir 'paket' oluşturur. Kapanış emri de aynı şekilde Satış Kapatma Faiz'e göre tahtada bekler.</t>
  </si>
  <si>
    <t>Nereye bakılır</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</si>
  <si>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</si>
  <si>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</si>
  <si>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</si>
  <si>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</si>
  <si>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</si>
  <si>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</si>
  <si>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</si>
  <si>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</si>
  <si>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</si>
  <si>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</si>
  <si>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</si>
  <si>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</si>
  <si>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</si>
  <si>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</si>
  <si>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</si>
  <si>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</si>
  <si>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</si>
  <si>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</si>
  <si>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</si>
  <si>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</si>
  <si>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</si>
  <si>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</si>
  <si>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</si>
  <si>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</si>
  <si>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</si>
  <si>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</si>
  <si>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</si>
  <si>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</si>
  <si>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</si>
  <si>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</si>
  <si>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</si>
  <si>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</si>
  <si>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</si>
  <si>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</si>
  <si>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</si>
  <si>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</si>
  <si>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</si>
  <si>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</si>
  <si>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</si>
  <si>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</si>
  <si>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</si>
  <si>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</si>
  <si>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</si>
  <si>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</si>
  <si>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</si>
  <si>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</si>
  <si>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</si>
  <si>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</si>
  <si>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</si>
  <si>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</si>
  <si>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</si>
  <si>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</si>
  <si>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</si>
  <si>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</si>
  <si>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</si>
  <si>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</si>
  <si>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</si>
  <si>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</si>
  <si>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</si>
  <si>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</si>
  <si>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</si>
  <si>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</si>
  <si>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</si>
  <si>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</si>
  <si>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</si>
  <si>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</si>
  <si>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</si>
  <si>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</si>
  <si>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</si>
  <si>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</si>
  <si>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</si>
  <si>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</si>
  <si>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</si>
  <si>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</si>
  <si>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</si>
  <si>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</si>
  <si>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</si>
  <si>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</si>
  <si>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</si>
  <si>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</si>
  <si>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</si>
  <si>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</si>
  <si>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</si>
  <si>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</si>
  <si>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</si>
  <si>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</si>
  <si>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</si>
  <si>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</si>
  <si>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</si>
  <si>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</si>
  <si>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</si>
  <si>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</si>
  <si>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</si>
  <si>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</si>
  <si>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</si>
  <si>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</si>
  <si>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</si>
  <si>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</si>
  <si>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</si>
  <si>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</si>
  <si>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</si>
  <si>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</si>
  <si>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</si>
  <si>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</si>
  <si>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</si>
  <si>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</si>
  <si>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</si>
  <si>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</si>
  <si>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</si>
  <si>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</si>
  <si>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</si>
  <si>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</si>
  <si>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</si>
  <si>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</si>
  <si>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</si>
  <si>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</si>
  <si>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</si>
  <si>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</si>
  <si>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</si>
  <si>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</si>
  <si>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</si>
  <si>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</si>
  <si>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</si>
  <si>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</si>
  <si>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</si>
  <si>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</si>
  <si>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</si>
  <si>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</si>
  <si>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</si>
  <si>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</si>
  <si>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</si>
  <si>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</si>
  <si>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</si>
  <si>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</si>
  <si>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</si>
  <si>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</si>
  <si>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</si>
  <si>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</si>
  <si>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</si>
  <si>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</si>
  <si>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</si>
  <si>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</si>
  <si>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</si>
  <si>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</si>
  <si>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</si>
  <si>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</si>
  <si>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</si>
  <si>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</si>
  <si>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</si>
  <si>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</si>
  <si>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</si>
  <si>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</si>
  <si>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</si>
  <si>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</si>
  <si>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</si>
  <si>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</si>
  <si>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</si>
  <si>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</si>
  <si>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</si>
  <si>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</si>
  <si>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</si>
  <si>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</si>
  <si>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</si>
  <si>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</si>
  <si>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</si>
  <si>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</si>
  <si>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</si>
  <si>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</si>
  <si>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</si>
  <si>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</si>
  <si>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</si>
  <si>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</si>
  <si>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</si>
  <si>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</si>
  <si>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</si>
  <si>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</si>
  <si>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</si>
  <si>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</si>
  <si>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</si>
  <si>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</si>
  <si>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</si>
  <si>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</si>
  <si>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</si>
  <si>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</si>
  <si>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</si>
  <si>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</si>
  <si>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</si>
  <si>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</si>
  <si>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</si>
  <si>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</si>
  <si>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</si>
  <si>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</si>
  <si>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</si>
  <si>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</si>
  <si>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</si>
  <si>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</si>
  <si>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</si>
  <si>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</si>
  <si>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</si>
  <si>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</si>
  <si>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</si>
  <si>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</si>
  <si>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</si>
  <si>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</si>
  <si>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</si>
  <si>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</si>
  <si>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</si>
  <si>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</si>
  <si>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</si>
  <si>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</si>
  <si>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</si>
  <si>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</si>
  <si>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</si>
  <si>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</si>
  <si>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</si>
  <si>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</si>
  <si>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</si>
  <si>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</si>
  <si>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</si>
  <si>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</si>
  <si>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</si>
  <si>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</si>
  <si>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</si>
  <si>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</si>
  <si>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</si>
  <si>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</si>
  <si>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</si>
  <si>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</si>
  <si>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</si>
  <si>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</si>
  <si>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</si>
  <si>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</si>
  <si>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</si>
  <si>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</si>
  <si>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</si>
  <si>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</si>
  <si>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</si>
  <si>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</si>
  <si>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</si>
  <si>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</si>
  <si>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</si>
  <si>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</si>
  <si>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</si>
  <si>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</si>
  <si>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</si>
  <si>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</si>
  <si>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</si>
  <si>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</si>
  <si>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</si>
  <si>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</si>
  <si>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</si>
  <si>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</si>
  <si>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</si>
  <si>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</si>
  <si>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</si>
  <si>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</si>
  <si>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</si>
  <si>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</si>
  <si>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</si>
  <si>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</si>
  <si>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</si>
  <si>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</si>
  <si>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</si>
  <si>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</si>
  <si>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</si>
  <si>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</si>
  <si>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</si>
  <si>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</si>
  <si>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</si>
  <si>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</si>
  <si>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</si>
  <si>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</si>
  <si>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</si>
  <si>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</si>
  <si>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</si>
  <si>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</si>
  <si>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</si>
  <si>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</si>
  <si>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</si>
  <si>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</si>
  <si>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</si>
  <si>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</si>
  <si>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</si>
  <si>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</si>
  <si>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</si>
  <si>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</si>
  <si>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</si>
  <si>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</si>
  <si>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Az</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</si>
  <si>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</si>
  <si>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</si>
  <si>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</si>
  <si>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</si>
  <si>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</si>
  <si>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</si>
  <si>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</si>
  <si>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</si>
  <si>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</si>
  <si>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</si>
  <si>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</si>
  <si>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</si>
  <si>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</si>
  <si>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</si>
  <si>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</si>
  <si>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</si>
  <si>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</si>
  <si>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</si>
  <si>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</si>
  <si>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</si>
  <si>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</si>
  <si>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</si>
  <si>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</si>
  <si>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</si>
  <si>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</si>
  <si>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</si>
  <si>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</si>
  <si>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</si>
  <si>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</si>
  <si>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</si>
  <si>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</si>
  <si>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</si>
  <si>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</si>
  <si>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</si>
  <si>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</si>
  <si>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</si>
  <si>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</si>
  <si>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</si>
  <si>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</si>
  <si>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</si>
  <si>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</si>
  <si>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</si>
  <si>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</si>
  <si>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</si>
  <si>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</si>
  <si>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</si>
  <si>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</si>
  <si>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</si>
  <si>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</si>
  <si>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</si>
  <si>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</si>
  <si>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</si>
  <si>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</si>
  <si>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</si>
  <si>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</si>
  <si>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</si>
  <si>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</si>
  <si>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</si>
  <si>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</si>
  <si>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</si>
  <si>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</si>
  <si>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</si>
  <si>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</si>
  <si>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</si>
  <si>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</si>
  <si>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</si>
  <si>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</si>
  <si>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</si>
  <si>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</si>
  <si>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</si>
  <si>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</si>
  <si>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</si>
  <si>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</si>
  <si>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</si>
  <si>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</si>
  <si>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</si>
  <si>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</si>
  <si>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</si>
  <si>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</si>
  <si>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</si>
  <si>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</si>
  <si>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</si>
  <si>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</si>
  <si>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</si>
  <si>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</si>
  <si>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</si>
  <si>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</si>
  <si>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</si>
  <si>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</si>
  <si>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</si>
  <si>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</si>
  <si>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</si>
  <si>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</si>
  <si>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</si>
  <si>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</si>
  <si>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</si>
  <si>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</si>
  <si>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</si>
  <si>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</si>
  <si>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</si>
  <si>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</si>
  <si>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Test Edilmedi</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</si>
  <si>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</si>
  <si>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</si>
  <si>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</si>
  <si>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</si>
  <si>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</si>
  <si>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</si>
  <si>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</si>
  <si>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</si>
  <si>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</si>
  <si>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</si>
  <si>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</si>
  <si>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</si>
  <si>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</si>
  <si>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</si>
  <si>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</si>
  <si>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</si>
  <si>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</si>
  <si>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</si>
  <si>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</si>
  <si>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</si>
  <si>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</si>
  <si>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</si>
  <si>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</si>
  <si>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</si>
  <si>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</si>
  <si>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</si>
  <si>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</si>
  <si>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</si>
  <si>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</si>
  <si>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</si>
  <si>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</si>
  <si>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</si>
  <si>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</si>
  <si>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</si>
  <si>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</si>
  <si>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</si>
  <si>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</si>
  <si>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</si>
  <si>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</si>
  <si>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</si>
  <si>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</si>
  <si>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</si>
  <si>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</si>
  <si>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</si>
  <si>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</si>
  <si>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</si>
  <si>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</si>
  <si>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</si>
  <si>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</si>
  <si>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</si>
  <si>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</si>
  <si>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</si>
  <si>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</si>
  <si>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</si>
  <si>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</si>
  <si>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</si>
  <si>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</si>
  <si>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</si>
  <si>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</si>
  <si>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</si>
  <si>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</si>
  <si>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</si>
  <si>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</si>
  <si>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</si>
  <si>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</si>
  <si>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</si>
  <si>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</si>
  <si>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</si>
  <si>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</si>
  <si>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</si>
  <si>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</si>
  <si>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</si>
  <si>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</si>
  <si>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</si>
  <si>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</si>
  <si>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</si>
  <si>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</si>
  <si>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</si>
  <si>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</si>
  <si>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</si>
  <si>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</si>
  <si>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</si>
  <si>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</si>
  <si>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</si>
  <si>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</si>
  <si>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</si>
  <si>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</si>
  <si>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</si>
  <si>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</si>
  <si>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</si>
  <si>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</si>
  <si>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</si>
  <si>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</si>
  <si>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</si>
  <si>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</si>
  <si>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</si>
  <si>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</si>
  <si>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</si>
  <si>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</si>
  <si>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</si>
  <si>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</si>
  <si>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</si>
  <si>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</si>
  <si>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</si>
  <si>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</si>
  <si>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</si>
  <si>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</si>
  <si>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</si>
  <si>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</si>
  <si>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</si>
  <si>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</si>
  <si>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</si>
  <si>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</si>
  <si>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</si>
  <si>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</si>
  <si>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</si>
  <si>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</si>
  <si>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</si>
  <si>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</si>
  <si>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</si>
  <si>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</si>
  <si>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</si>
  <si>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</si>
  <si>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</si>
  <si>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</si>
  <si>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</si>
  <si>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</si>
  <si>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</si>
  <si>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</si>
  <si>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</si>
  <si>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</si>
  <si>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</si>
  <si>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</si>
  <si>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</si>
  <si>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</si>
  <si>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</si>
  <si>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</si>
  <si>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</si>
  <si>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</si>
  <si>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</si>
  <si>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</si>
  <si>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</si>
  <si>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</si>
  <si>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</si>
  <si>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</si>
  <si>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</si>
  <si>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</si>
  <si>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</si>
  <si>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</si>
  <si>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</si>
  <si>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</si>
  <si>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</si>
  <si>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</si>
  <si>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</si>
  <si>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</si>
  <si>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</si>
  <si>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</si>
  <si>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</si>
  <si>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</si>
  <si>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</si>
  <si>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</si>
  <si>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</si>
  <si>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</si>
  <si>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</si>
  <si>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</si>
  <si>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</si>
  <si>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</si>
  <si>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</si>
  <si>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</si>
  <si>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</si>
  <si>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</si>
  <si>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</si>
  <si>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</si>
  <si>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</si>
  <si>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</si>
  <si>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</si>
  <si>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</si>
  <si>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</si>
  <si>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</si>
  <si>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</si>
  <si>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</si>
  <si>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</si>
  <si>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</si>
  <si>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</si>
  <si>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</si>
  <si>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</si>
  <si>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</si>
  <si>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</si>
  <si>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</si>
  <si>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</si>
  <si>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</si>
  <si>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</si>
  <si>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</si>
  <si>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</si>
  <si>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</si>
  <si>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</si>
  <si>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</si>
  <si>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</si>
  <si>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</si>
  <si>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</si>
  <si>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</si>
  <si>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</si>
  <si>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</si>
  <si>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</si>
  <si>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</si>
  <si>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</si>
  <si>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</si>
  <si>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</si>
  <si>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</si>
  <si>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</si>
  <si>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</si>
  <si>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</si>
  <si>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</si>
  <si>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</si>
  <si>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</si>
  <si>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</si>
  <si>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</si>
  <si>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</si>
  <si>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</si>
  <si>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</si>
  <si>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</si>
  <si>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</si>
  <si>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</si>
  <si>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</si>
  <si>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</si>
  <si>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</si>
  <si>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</si>
  <si>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</si>
  <si>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</si>
  <si>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</si>
  <si>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</si>
  <si>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</si>
  <si>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</si>
  <si>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</si>
  <si>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</si>
  <si>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</si>
  <si>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</si>
  <si>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</si>
  <si>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</si>
  <si>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</si>
  <si>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</si>
  <si>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</si>
  <si>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</si>
  <si>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</si>
  <si>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</si>
  <si>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</si>
  <si>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</si>
  <si>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</si>
  <si>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</si>
  <si>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</si>
  <si>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</si>
  <si>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</si>
  <si>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</si>
  <si>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</si>
  <si>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</si>
  <si>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</si>
  <si>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</si>
  <si>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</si>
  <si>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</si>
  <si>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</si>
  <si>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</si>
  <si>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</si>
  <si>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</si>
  <si>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</si>
  <si>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</si>
  <si>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</si>
  <si>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</si>
  <si>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</si>
  <si>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</si>
  <si>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</si>
  <si>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</si>
  <si>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</si>
  <si>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</si>
  <si>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</si>
  <si>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</si>
  <si>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</si>
  <si>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</si>
  <si>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</si>
  <si>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</si>
  <si>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</si>
  <si>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</si>
  <si>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</si>
  <si>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</si>
  <si>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</si>
  <si>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</si>
  <si>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</si>
  <si>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</si>
  <si>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</si>
  <si>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</si>
  <si>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</si>
  <si>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</si>
  <si>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</si>
  <si>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</si>
  <si>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</si>
  <si>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</si>
  <si>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</si>
  <si>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</si>
  <si>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</si>
  <si>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</si>
  <si>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</si>
  <si>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</si>
  <si>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</si>
  <si>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</si>
  <si>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</si>
  <si>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</si>
  <si>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</si>
  <si>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</si>
  <si>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</si>
  <si>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</si>
  <si>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</si>
  <si>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</si>
  <si>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</si>
  <si>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</si>
  <si>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</si>
  <si>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</si>
  <si>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</si>
  <si>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</si>
  <si>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</si>
  <si>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</si>
  <si>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</si>
  <si>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</si>
  <si>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</si>
  <si>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</si>
  <si>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</si>
  <si>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</si>
  <si>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</si>
  <si>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</si>
  <si>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</si>
  <si>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</si>
  <si>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</si>
  <si>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</si>
  <si>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</si>
  <si>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</si>
  <si>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</si>
  <si>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Test Ediliyor</t>
  </si>
  <si>
    <t/>
  </si>
  <si>
    <t>Bloke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</si>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</sst>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theme="0"/>
      <name val="Arial"/>
      <family val="2"/>
      <charset val="162"/>
    </font>
    <font>
      <b/>
      <sz val="10"/>
      <name val="Arial"/>
      <charset val="1"/>
    </font>
    <font>
      <sz val="10"/>
      <name val="Arial"/>
      <charset val="1"/>
    </font>
    <font>
      <b/>
      <sz val="10"/>
      <color rgb="FFFFFFFF"/>
      <name val="Arial"/>
      <charset val="1"/>
    </font>
    <font>
      <b/>
      <sz val="11"/>
      <color rgb="FFFFFFFF"/>
      <name val="Arial"/>
      <charset val="1"/>
    </font>
    <font>
      <b/>
      <sz val="10"/>
      <color rgb="FF000000"/>
      <name val="Arial"/>
      <charset val="1"/>
    </font>
    <font>
      <sz val="10"/>
      <color rgb="FF000000"/>
      <name val="Arial"/>
      <charset val="1"/>
    </font>
    <font>
      <sz val="10"/>
      <name val="Arial"/>
      <family val="2"/>
      <charset val="162"/>
    </font>
    <font>
      <b/>
      <sz val="13"/>
      <color theme="6" tint="-0.249977111117893"/>
      <name val="Arial"/>
      <family val="2"/>
      <charset val="162"/>
    </font>
    <font>
      <i/>
      <sz val="9"/>
      <color rgb="FF808080"/>
      <name val="Arial"/>
      <charset val="1"/>
    </font>
    <font>
      <i/>
      <sz val="10"/>
      <name val="Arial"/>
      <family val="2"/>
      <charset val="162"/>
    </font>
  </fonts>
  <fills count="7">
    <fill>
      <patternFill patternType="none"/>
    </fill>
    <fill>
      <patternFill patternType="gray125"/>
    </fill>
    <fill>
      <patternFill patternType="solid">
        <fgColor rgb="FF92D050"/>
        <bgColor rgb="FFBFBFBF"/>
      </patternFill>
    </fill>
    <fill>
      <patternFill patternType="solid">
        <fgColor rgb="FFF2F2F2"/>
        <bgColor rgb="FFEAF1F8"/>
      </patternFill>
    </fill>
    <fill>
      <patternFill patternType="solid">
        <fgColor rgb="FFFFF2CC"/>
        <bgColor rgb="FFFCE4D6"/>
      </patternFill>
    </fill>
    <fill>
      <patternFill patternType="solid">
        <fgColor rgb="FF2E5C8A"/>
        <bgColor rgb="FF595959"/>
      </patternFill>
    </fill>
    <fill>
      <patternFill patternType="solid">
        <fgColor rgb="FFEAF1F8"/>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7" fillId="6" borderId="1" xfId="0" applyFont="1" applyFill="1" applyBorder="1" applyAlignment="1">
      <alignment horizontal="left" vertical="center" wrapText="1" indent="1"/>
    </xf>
    <xf numFmtId="0" fontId="6" fillId="6" borderId="1" xfId="0" applyFont="1" applyFill="1" applyBorder="1" applyAlignment="1">
      <alignment horizontal="left" vertical="center" wrapText="1" indent="1"/>
    </xf>
    <xf numFmtId="0" fontId="5" fillId="5" borderId="1" xfId="0" applyFont="1" applyFill="1" applyBorder="1" applyAlignment="1">
      <alignment horizontal="left" vertical="center" wrapText="1" indent="1"/>
    </xf>
    <xf numFmtId="0" fontId="3" fillId="4" borderId="1" xfId="0" applyFont="1" applyFill="1" applyBorder="1" applyAlignment="1">
      <alignment horizontal="left" vertical="center" wrapText="1" indent="1"/>
    </xf>
    <xf numFmtId="0" fontId="2" fillId="3" borderId="1" xfId="0" applyFont="1" applyFill="1" applyBorder="1" applyAlignment="1">
      <alignment horizontal="left" vertical="center" indent="1"/>
    </xf>
    <xf numFmtId="0" fontId="1" fillId="2" borderId="0" xfId="0" applyFont="1" applyFill="1" applyAlignment="1">
      <alignment horizontal="center" vertical="center"/>
    </xf>
    <xf numFmtId="0" fontId="7" fillId="0" borderId="1" xfId="0" applyFont="1" applyBorder="1" applyAlignment="1">
      <alignment horizontal="left" vertical="center" wrapText="1" indent="1"/>
    </xf>
    <xf numFmtId="0" fontId="9" fillId="0" borderId="1" xfId="0" applyFont="1" applyBorder="1" applyAlignment="1">
      <alignment vertical="center" wrapText="1"/>
    </xf>
    <xf numFmtId="0" fontId="2" fillId="3"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3" fillId="4" borderId="1" xfId="0" applyFont="1" applyFill="1" applyBorder="1" applyAlignment="1">
      <alignment vertical="center" wrapText="1"/>
    </xf>
    <xf numFmtId="0" fontId="4" fillId="2" borderId="1" xfId="0" applyFont="1" applyFill="1" applyBorder="1" applyAlignment="1">
      <alignment horizontal="center" vertical="center"/>
    </xf>
    <xf numFmtId="0" fontId="2" fillId="0" borderId="1" xfId="0" applyFont="1" applyBorder="1" applyAlignment="1">
      <alignment horizontal="center" vertical="center"/>
    </xf>
    <xf numFmtId="0" fontId="6" fillId="0" borderId="0" xfId="0" applyFont="1" applyAlignment="1">
      <alignment vertical="top" wrapText="1"/>
    </xf>
    <xf numFmtId="0" fontId="7" fillId="0" borderId="0" xfId="0" applyFont="1" applyAlignment="1">
      <alignment vertical="top"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indent="1"/>
    </xf>
    <xf numFmtId="0" fontId="3" fillId="0" borderId="1" xfId="0" applyFont="1" applyBorder="1" applyAlignment="1">
      <alignment vertical="top" wrapText="1"/>
    </xf>
    <xf numFmtId="0" fontId="8" fillId="0" borderId="1" xfId="0" applyFont="1" applyBorder="1" applyAlignment="1">
      <alignment horizontal="left" vertical="center" wrapText="1" indent="1"/>
    </xf>
    <xf numFmtId="0" fontId="3" fillId="0" borderId="1" xfId="0" applyFont="1" applyBorder="1" applyAlignment="1">
      <alignment horizontal="center" vertical="top"/>
    </xf>
    <xf numFmtId="0" fontId="3" fillId="0" borderId="0" xfId="0" applyFont="1"/>
    <xf numFmtId="0" fontId="5" fillId="5" borderId="0" xfId="0" applyFont="1" applyFill="1"/>
    <xf numFmtId="0" fontId="10" fillId="0" borderId="0" xfId="0" applyFont="1"/>
    <xf numFmtId="0" fontId="8" fillId="0" borderId="1" xfId="0" applyFont="1" applyBorder="1" applyAlignment="1">
      <alignment horizontal="center" vertical="center" wrapText="1"/>
    </xf>
  </cellXfs>
  <cellStyles count="1">
    <cellStyle name="Normal" xfId="0" builtinId="0"/>
  </cellStyles>
  <dxfs count="22">
    <dxf>
      <font>
        <b/>
        <color rgb="FF595959"/>
      </font>
      <fill>
        <patternFill>
          <bgColor rgb="FFD9D9D9"/>
        </patternFill>
      </fill>
    </dxf>
    <dxf>
      <font>
        <b/>
        <sz val="10"/>
        <color rgb="FF7F6000"/>
        <name val="Arial"/>
        <charset val="1"/>
      </font>
      <fill>
        <patternFill>
          <bgColor rgb="FFFFE699"/>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color rgb="FF9C0006"/>
      </font>
      <fill>
        <patternFill>
          <bgColor rgb="FFFCE4E4"/>
        </patternFill>
      </fill>
    </dxf>
    <dxf>
      <font>
        <b/>
        <color rgb="FF7F6000"/>
      </font>
      <fill>
        <patternFill>
          <bgColor rgb="FFFFE699"/>
        </patternFill>
      </fill>
    </dxf>
    <dxf>
      <font>
        <b/>
        <color rgb="FFC65911"/>
      </font>
      <fill>
        <patternFill>
          <bgColor rgb="FFFCE4D6"/>
        </patternFill>
      </fill>
    </dxf>
    <dxf>
      <font>
        <b/>
        <color rgb="FF9C0006"/>
      </font>
      <fill>
        <patternFill>
          <bgColor rgb="FFFFC7CE"/>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color rgb="FF9C0006"/>
      </font>
      <fill>
        <patternFill>
          <bgColor rgb="FFFCE4E4"/>
        </patternFill>
      </fill>
    </dxf>
    <dxf>
      <font>
        <b/>
        <color rgb="FF7F6000"/>
      </font>
      <fill>
        <patternFill>
          <bgColor rgb="FFFFE699"/>
        </patternFill>
      </fill>
    </dxf>
    <dxf>
      <font>
        <b/>
        <color rgb="FF5B2C8D"/>
      </font>
      <fill>
        <patternFill>
          <bgColor rgb="FFE4D9F2"/>
        </patternFill>
      </fill>
    </dxf>
    <dxf>
      <font>
        <b/>
        <color rgb="FF9C0006"/>
      </font>
      <fill>
        <patternFill>
          <bgColor rgb="FFFFC7CE"/>
        </patternFill>
      </fill>
    </dxf>
    <dxf>
      <font>
        <b/>
        <color rgb="FF006100"/>
      </font>
      <fill>
        <patternFill>
          <bgColor rgb="FFC6EFCE"/>
        </patternFill>
      </fill>
    </dxf>
    <dxf>
      <font>
        <b/>
        <sz val="10"/>
        <color rgb="FF9C0006"/>
        <name val="Arial"/>
        <charset val="1"/>
      </font>
      <fill>
        <patternFill>
          <bgColor rgb="FFFCE4E4"/>
        </patternFill>
      </fill>
    </dxf>
    <dxf>
      <font>
        <b/>
        <sz val="10"/>
        <color rgb="FF7F6000"/>
        <name val="Arial"/>
        <charset val="1"/>
      </font>
      <fill>
        <patternFill>
          <bgColor rgb="FFFFE699"/>
        </patternFill>
      </fill>
    </dxf>
    <dxf>
      <font>
        <b/>
        <sz val="10"/>
        <color rgb="FF5B2C8D"/>
        <name val="Arial"/>
        <charset val="1"/>
      </font>
      <fill>
        <patternFill>
          <bgColor rgb="FFE4D9F2"/>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EAF1F8"/>
      <rgbColor rgb="FF660066"/>
      <rgbColor rgb="FFFF8080"/>
      <rgbColor rgb="FF2E5C8A"/>
      <rgbColor rgb="FFE4D9F2"/>
      <rgbColor rgb="FF000080"/>
      <rgbColor rgb="FFFF00FF"/>
      <rgbColor rgb="FFFFFF00"/>
      <rgbColor rgb="FF00FFFF"/>
      <rgbColor rgb="FF800080"/>
      <rgbColor rgb="FF800000"/>
      <rgbColor rgb="FF008080"/>
      <rgbColor rgb="FF0000FF"/>
      <rgbColor rgb="FF00CCFF"/>
      <rgbColor rgb="FFF2F2F2"/>
      <rgbColor rgb="FFC6EFCE"/>
      <rgbColor rgb="FFFFE699"/>
      <rgbColor rgb="FFD9D9D9"/>
      <rgbColor rgb="FFFCE4D6"/>
      <rgbColor rgb="FFFCE4E4"/>
      <rgbColor rgb="FFFFC7CE"/>
      <rgbColor rgb="FF3366FF"/>
      <rgbColor rgb="FF33CCCC"/>
      <rgbColor rgb="FF92D050"/>
      <rgbColor rgb="FFFFCC00"/>
      <rgbColor rgb="FFFF9900"/>
      <rgbColor rgb="FFC65911"/>
      <rgbColor rgb="FF595959"/>
      <rgbColor rgb="FF77933C"/>
      <rgbColor rgb="FF003366"/>
      <rgbColor rgb="FF339966"/>
      <rgbColor rgb="FF003300"/>
      <rgbColor rgb="FF333300"/>
      <rgbColor rgb="FF993300"/>
      <rgbColor rgb="FF993366"/>
      <rgbColor rgb="FF5B2C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9"/>
  <sheetViews>
    <sheetView showGridLines="0" topLeftCell="A20" zoomScaleNormal="100" workbookViewId="0">
      <selection activeCell="A20" sqref="A20"/>
    </sheetView>
  </sheetViews>
  <sheetFormatPr defaultColWidth="8.7109375" defaultRowHeight="15" x14ac:dyDescent="0.25"/>
  <cols>
    <col min="1" max="1" width="13" customWidth="1"/>
    <col min="2" max="2" width="14" customWidth="1"/>
    <col min="3" max="3" width="24" customWidth="1"/>
    <col min="4" max="4" width="34" customWidth="1"/>
    <col min="5" max="5" width="30" customWidth="1"/>
    <col min="6" max="6" width="52" customWidth="1"/>
    <col min="7" max="7" width="48" customWidth="1"/>
    <col min="8" max="8" width="30" customWidth="1"/>
    <col min="9" max="9" width="34" customWidth="1"/>
    <col min="10" max="10" width="13" customWidth="1"/>
    <col min="11" max="11" width="10" customWidth="1"/>
    <col min="12" max="12" width="54"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COUNTA($A$20:$A$399)</f>
        <v>5</v>
      </c>
      <c r="I2" s="9" t="inlineStr">
        <is>
          <t xml:space="preserve">Test Edilmedi</t>
        </is>
      </c>
      <c r="J2" s="13">
        <f>COUNTIF($B$20:$B$399,"Test Edilmedi")</f>
        <v>0</v>
      </c>
      <c r="K2" s="9" t="inlineStr">
        <is>
          <t xml:space="preserve">Bloke</t>
        </is>
      </c>
      <c r="L2" s="13">
        <f>COUNTIF($B$20:$B$399,"Bloke")</f>
        <v>0</v>
      </c>
    </row>
    <row r="3" spans="1:13" ht="21.75" customHeight="1" x14ac:dyDescent="0.25">
      <c r="A3" s="6"/>
      <c r="B3" s="6"/>
      <c r="C3" s="9" t="s">
        <v>9</v>
      </c>
      <c r="D3" s="10" t="inlineStr">
        <is>
          <t xml:space="preserve">Hazırlık ve ortak kontroller</t>
        </is>
      </c>
      <c r="E3" s="9" t="s">
        <v>11</v>
      </c>
      <c r="F3" s="11"/>
      <c r="G3" s="9" t="s">
        <v>12</v>
      </c>
      <c r="H3" s="13">
        <f>COUNTIF($B$20:$B$399,"Başarılı")</f>
        <v>5</v>
      </c>
      <c r="I3" s="9" t="inlineStr">
        <is>
          <t xml:space="preserve">Test Ediliyor</t>
        </is>
      </c>
      <c r="J3" s="13">
        <f>COUNTIF($B$20:$B$399,"Test Ediliyor")</f>
        <v>0</v>
      </c>
      <c r="K3" s="9" t="inlineStr">
        <is>
          <t xml:space="preserve">Sonuçsuz</t>
        </is>
      </c>
      <c r="L3" s="13">
        <f>COUNTBLANK($B$20:$B$24)</f>
        <v>0</v>
      </c>
    </row>
    <row r="4" spans="1:13" ht="21.75" customHeight="1" x14ac:dyDescent="0.25">
      <c r="A4" s="6"/>
      <c r="B4" s="6"/>
      <c r="C4" s="9" t="inlineStr">
        <is>
          <t xml:space="preserve">Doküman Sürümü:</t>
        </is>
      </c>
      <c r="D4" s="10" t="inlineStr">
        <is>
          <t xml:space="preserve">3.0</t>
        </is>
      </c>
      <c r="E4" s="9" t="s">
        <v>15</v>
      </c>
      <c r="F4" s="11"/>
      <c r="G4" s="9" t="s">
        <v>16</v>
      </c>
      <c r="H4" s="13">
        <f>COUNTIF($B$20:$B$399,"Başarısız")</f>
        <v>0</v>
      </c>
      <c r="I4" s="9" t="inlineStr">
        <is>
          <t xml:space="preserve">Kısmen</t>
        </is>
      </c>
      <c r="J4" s="13">
        <f>COUNTIF($B$20:$B$399,"Kısmen")</f>
        <v>0</v>
      </c>
    </row>
    <row r="6" spans="1:13" ht="42" customHeight="1" x14ac:dyDescent="0.25">
      <c r="A6" s="5" t="s">
        <v>17</v>
      </c>
      <c r="B6" s="5"/>
      <c r="C6" s="4" t="inlineStr">
        <is>
          <t xml:space="preserve">Yetkili test hesabı, açık Arbitraj paneli ve iki bacak için güncel fiyat gerekir. Hesap, çift, vade, başlangıç pozisyonu ve açık emirleri kaydedin. Emirli senaryoları test için ayrılmış hesapta uygulayın; gerekli piyasa koşulu yoksa Bloke yazıp nedenini belirtin.</t>
        </is>
      </c>
      <c r="D6" s="4"/>
      <c r="E6" s="4"/>
      <c r="F6" s="4"/>
      <c r="G6" s="4"/>
      <c r="H6" s="4"/>
    </row>
    <row r="7" spans="1:13" ht="25.5" customHeight="1" x14ac:dyDescent="0.25">
      <c r="A7" s="5" t="inlineStr">
        <is>
          <t xml:space="preserve">Test seçimi:</t>
        </is>
      </c>
      <c r="B7" s="5"/>
      <c r="C7" s="4" t="inlineStr">
        <is>
          <t xml:space="preserve">5 ön koşuldan sonra Arbitraj Senaryoları sayfasında Ana sanity filtresini kullanın: 32 kontrol. Genişletilmiş kapsamda 15 kontrol vardır. Üst özetler sayfanın tüm kayıtlarını gösterir.</t>
        </is>
      </c>
      <c r="D7" s="4"/>
      <c r="E7" s="4"/>
      <c r="F7" s="4"/>
      <c r="G7" s="4"/>
      <c r="H7" s="4"/>
    </row>
    <row r="8" spans="1:13" x14ac:dyDescent="0.25" ht="34.0" customHeight="1">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0" customHeight="1" x14ac:dyDescent="0.25">
      <c r="A11" s="2" t="inlineStr">
        <is>
          <t xml:space="preserve">Koşu bilgisi</t>
        </is>
      </c>
      <c r="B11" s="2"/>
      <c r="C11" s="1" t="inlineStr">
        <is>
          <t xml:space="preserve">Tarih/saat, testi yapan kişi, uygulamada görünen sürüm ve ortamı kaydedin. Hesap ve çift bilgilerini Not alanına yazın. Bilinmeyen geçmiş bilgileri tahmin etmeyin.</t>
        </is>
      </c>
      <c r="D11" s="1"/>
      <c r="E11" s="1"/>
      <c r="F11" s="1"/>
      <c r="G11" s="1"/>
      <c r="H11" s="1"/>
      <c r="I11" s="1"/>
      <c r="J11" s="1"/>
      <c r="K11" s="1"/>
      <c r="L11" s="1"/>
      <c r="M11" s="1"/>
    </row>
    <row r="12" spans="1:13" ht="49.5" customHeight="1" x14ac:dyDescent="0.25">
      <c r="A12" s="2" t="inlineStr">
        <is>
          <t xml:space="preserve">Ana sanity</t>
        </is>
      </c>
      <c r="B12" s="2"/>
      <c r="C12" s="1" t="inlineStr">
        <is>
          <t xml:space="preserve">Arbitraj Senaryoları sayfasında Test Kapsamı = Ana sanity filtresini kullanın. Önce çift ve ayarları hazırlayın, sonra emir/pozisyon akışını, en son durdurma ve temizliği kontrol edin.</t>
        </is>
      </c>
      <c r="D12" s="1"/>
      <c r="E12" s="1"/>
      <c r="F12" s="1"/>
      <c r="G12" s="1"/>
      <c r="H12" s="1"/>
      <c r="I12" s="1"/>
      <c r="J12" s="1"/>
      <c r="K12" s="1"/>
      <c r="L12" s="1"/>
      <c r="M12" s="1"/>
    </row>
    <row r="13" spans="1:13" ht="30" customHeight="1" x14ac:dyDescent="0.25">
      <c r="A13" s="2" t="inlineStr">
        <is>
          <t xml:space="preserve">Ek kontroller</t>
        </is>
      </c>
      <c r="B13" s="2"/>
      <c r="C13" s="1" t="inlineStr">
        <is>
          <t xml:space="preserve">Genişletilmiş kontroller, ilgili ayar veya iş akışı değiştiğinde çalıştırılır. Gerekli piyasa koşulu yoksa Bloke seçip nedenini kaydedin.</t>
        </is>
      </c>
      <c r="D13" s="1"/>
      <c r="E13" s="1"/>
      <c r="F13" s="1"/>
      <c r="G13" s="1"/>
      <c r="H13" s="1"/>
      <c r="I13" s="1"/>
      <c r="J13" s="1"/>
      <c r="K13" s="1"/>
      <c r="L13" s="1"/>
      <c r="M13" s="1"/>
    </row>
    <row r="14" spans="1:13" ht="30" customHeight="1" x14ac:dyDescent="0.25">
      <c r="A14" s="2" t="inlineStr">
        <is>
          <t xml:space="preserve">Referans ayarlar</t>
        </is>
      </c>
      <c r="B14" s="2"/>
      <c r="C14" s="1" t="inlineStr">
        <is>
          <t xml:space="preserve">Arbitraj Senaryoları sayfasındaki RA örnek ayar setidir. İlgili çiftin fiyatına ve seansına uygunluğunu doğrulayın; farklı değer kullanılırsa Not alanına yazın. Hazırlığı tamamlamadan emirli adıma geçmeyin.</t>
        </is>
      </c>
      <c r="D14" s="1"/>
      <c r="E14" s="1"/>
      <c r="F14" s="1"/>
      <c r="G14" s="1"/>
      <c r="H14" s="1"/>
      <c r="I14" s="1"/>
      <c r="J14" s="1"/>
      <c r="K14" s="1"/>
      <c r="L14" s="1"/>
      <c r="M14" s="1"/>
    </row>
    <row r="15" spans="1:13" ht="30" customHeight="1" x14ac:dyDescent="0.25">
      <c r="A15" s="2" t="inlineStr">
        <is>
          <t xml:space="preserve">Sonuç ve kanıt</t>
        </is>
      </c>
      <c r="B15" s="2"/>
      <c r="C15" s="1" t="inlineStr">
        <is>
          <t xml:space="preserve">Gerçekleşen Sonuç alanına gördüğünüz durumu yazın. Ekran görüntüsünü Ekler alanına bağlayın; emir numarası ve saati Not alanına ekleyin. Gözlenmeyen gerçekleşmeyi başarılı saymayın.</t>
        </is>
      </c>
      <c r="D15" s="1"/>
      <c r="E15" s="1"/>
      <c r="F15" s="1"/>
      <c r="G15" s="1"/>
      <c r="H15" s="1"/>
      <c r="I15" s="1"/>
      <c r="J15" s="1"/>
      <c r="K15" s="1"/>
      <c r="L15" s="1"/>
      <c r="M15" s="1"/>
    </row>
    <row r="16" spans="1:13" ht="30" customHeight="1" x14ac:dyDescent="0.25">
      <c r="A16" s="2" t="inlineStr">
        <is>
          <t xml:space="preserve">Test sonu</t>
        </is>
      </c>
      <c r="B16" s="2"/>
      <c r="C16" s="1" t="inlineStr">
        <is>
          <t xml:space="preserve">Stratejiyi durdurun; bekleyen emirleri, açık paketleri ve pozisyonları kontrol edin. Test için değiştirdiğiniz ayarları geri alın. Kalan emir/pozisyon varsa miktarı ve kime devredildiğini kaydedin.</t>
        </is>
      </c>
      <c r="D16" s="1"/>
      <c r="E16" s="1"/>
      <c r="F16" s="1"/>
      <c r="G16" s="1"/>
      <c r="H16" s="1"/>
      <c r="I16" s="1"/>
      <c r="J16" s="1"/>
      <c r="K16" s="1"/>
      <c r="L16" s="1"/>
      <c r="M16" s="1"/>
    </row>
    <row r="17" spans="1:13" ht="15" customHeight="1" x14ac:dyDescent="0.25">
      <c r="A17" s="14"/>
      <c r="C17" s="15"/>
    </row>
    <row r="19" spans="1:13" ht="25.5" customHeight="1" x14ac:dyDescent="0.25">
      <c r="A19" s="16" t="s">
        <v>36</v>
      </c>
      <c r="B19" s="16" t="s">
        <v>37</v>
      </c>
      <c r="C19" s="16" t="inlineStr">
        <is>
          <t xml:space="preserve">Test Kapsamı</t>
        </is>
      </c>
      <c r="D19" s="16" t="s">
        <v>39</v>
      </c>
      <c r="E19" s="16" t="s">
        <v>40</v>
      </c>
      <c r="F19" s="16" t="s">
        <v>41</v>
      </c>
      <c r="G19" s="16" t="s">
        <v>42</v>
      </c>
      <c r="H19" s="16" t="s">
        <v>43</v>
      </c>
      <c r="I19" s="16" t="inlineStr">
        <is>
          <t xml:space="preserve">Kontrol Edilecek Ekran</t>
        </is>
      </c>
      <c r="J19" s="16" t="s">
        <v>45</v>
      </c>
      <c r="K19" s="16" t="s">
        <v>46</v>
      </c>
      <c r="L19" s="16" t="inlineStr">
        <is>
          <t xml:space="preserve">Not / Test Kaydı</t>
        </is>
      </c>
      <c r="M19" s="16" t="s">
        <v>48</v>
      </c>
    </row>
    <row r="20" spans="1:13" x14ac:dyDescent="0.25" ht="151.0" customHeight="1">
      <c r="A20" s="17" t="s">
        <v>49</v>
      </c>
      <c r="B20" s="18" t="s">
        <v>12</v>
      </c>
      <c r="C20" s="19" t="inlineStr">
        <is>
          <t xml:space="preserve">Ön koşul</t>
        </is>
      </c>
      <c r="D20" s="19" t="inlineStr">
        <is>
          <t xml:space="preserve">Arbitraj ekranına erişim</t>
        </is>
      </c>
      <c r="E20" s="19" t="inlineStr">
        <is>
          <t xml:space="preserve">Yetkili test kullanıcısıyla giriş yapılmış.</t>
        </is>
      </c>
      <c r="F20" s="20" t="inlineStr">
        <is>
          <t xml:space="preserve">1. Arbitraj panelini açın.
2. Kayıtlı test çiftlerinin listelendiğini kontrol edin.
3. Sayfayı yenileyip tekrar kontrol edin.</t>
        </is>
      </c>
      <c r="G20" s="19" t="inlineStr">
        <is>
          <t xml:space="preserve">Panel açılır; test çiftleri listelenir ve yenileme sonrası tekrar görünür.</t>
        </is>
      </c>
      <c r="H20" s="19"/>
      <c r="I20" s="19" t="inlineStr">
        <is>
          <t xml:space="preserve">Arbitraj takip tablosu.</t>
        </is>
      </c>
      <c r="J20" s="18" t="s">
        <v>56</v>
      </c>
      <c r="K20" s="18" t="s">
        <v>57</v>
      </c>
      <c r="L20" s="20"/>
      <c r="M20" s="21"/>
    </row>
    <row r="21" spans="1:13" ht="110.25" customHeight="1" x14ac:dyDescent="0.25">
      <c r="A21" s="18" t="s">
        <v>59</v>
      </c>
      <c r="B21" s="18" t="s">
        <v>12</v>
      </c>
      <c r="C21" s="19" t="inlineStr">
        <is>
          <t xml:space="preserve">Ön koşul</t>
        </is>
      </c>
      <c r="D21" s="19" t="inlineStr">
        <is>
          <t xml:space="preserve">Emir gönderimine hazırlık</t>
        </is>
      </c>
      <c r="E21" s="19" t="inlineStr">
        <is>
          <t xml:space="preserve">Test hesabı ve kullanılacak Ouch/Fix kanalı test sorumlusunca hazır olarak bildirilmiş.</t>
        </is>
      </c>
      <c r="F21" s="20" t="inlineStr">
        <is>
          <t xml:space="preserve">1. Hesap ve kanal seçimini kontrol edin.
2. Test hesabının emir listesine erişebildiğinizi doğrulayın.
3. İlk emirli senaryoda gönderim sonucunu emir numarasıyla takip edin.</t>
        </is>
      </c>
      <c r="G21" s="19" t="inlineStr">
        <is>
          <t xml:space="preserve">Doğru hesap/kanal seçilidir ve emir listesi açılır. Emir gönderiminin çalıştığı A01/A13 veya B13 sırasında ayrıca doğrulanır.</t>
        </is>
      </c>
      <c r="H21" s="19"/>
      <c r="I21" s="19" t="inlineStr">
        <is>
          <t xml:space="preserve">Ayar ekranı ve Emir Geçmişi.</t>
        </is>
      </c>
      <c r="J21" s="18" t="s">
        <v>56</v>
      </c>
      <c r="K21" s="18" t="s">
        <v>57</v>
      </c>
      <c r="L21" s="20"/>
      <c r="M21" s="21"/>
    </row>
    <row r="22" spans="1:13" x14ac:dyDescent="0.25" ht="99.0" customHeight="1">
      <c r="A22" s="18" t="s">
        <v>66</v>
      </c>
      <c r="B22" s="18" t="s">
        <v>12</v>
      </c>
      <c r="C22" s="19" t="inlineStr">
        <is>
          <t xml:space="preserve">Ön koşul</t>
        </is>
      </c>
      <c r="D22" s="19" t="inlineStr">
        <is>
          <t xml:space="preserve">İki bacakta fiyatların görünmesi</t>
        </is>
      </c>
      <c r="E22" s="19" t="inlineStr">
        <is>
          <t xml:space="preserve">Test çifti seçilmiş; ilgili seans açık.</t>
        </is>
      </c>
      <c r="F22" s="20" t="inlineStr">
        <is>
          <t xml:space="preserve">1. Spot ve vadeli enstrüman adlarını kontrol edin.
2. İki bacağın alış/satış fiyatlarını izleyin.
3. Fiyat alanlarının boş kalmadığını ve piyasadaki değişikliklerin yansıdığını kontrol edin.</t>
        </is>
      </c>
      <c r="G22" s="19" t="inlineStr">
        <is>
          <t xml:space="preserve">İki bacağın fiyatları görünür. Fiyat hareketi olduğunda ekran güncellenir; yalnız sabit fiyat görülmesi kesinti kanıtı sayılmaz.</t>
        </is>
      </c>
      <c r="H22" s="19"/>
      <c r="I22" s="19" t="inlineStr">
        <is>
          <t xml:space="preserve">Takip tablosu ve fiyat ekranı.</t>
        </is>
      </c>
      <c r="J22" s="18" t="s">
        <v>56</v>
      </c>
      <c r="K22" s="18" t="s">
        <v>57</v>
      </c>
      <c r="L22" s="20"/>
      <c r="M22" s="21"/>
    </row>
    <row r="23" spans="1:13" ht="199.5" customHeight="1" x14ac:dyDescent="0.25">
      <c r="A23" s="18" t="s">
        <v>73</v>
      </c>
      <c r="B23" s="18" t="s">
        <v>12</v>
      </c>
      <c r="C23" s="19" t="inlineStr">
        <is>
          <t xml:space="preserve">Ön koşul</t>
        </is>
      </c>
      <c r="D23" s="19" t="inlineStr">
        <is>
          <t xml:space="preserve">Yeni çiftin işlem yapabilmesi</t>
        </is>
      </c>
      <c r="E23" s="19" t="inlineStr">
        <is>
          <t xml:space="preserve">Test hesabında yeni çift kaydedilmiş; başlangıç pozisyonu ve açık emirler biliniyor.</t>
        </is>
      </c>
      <c r="F23" s="20" t="inlineStr">
        <is>
          <t xml:space="preserve">1. Yeni çifti takip tablosunda bulun.
2. A01 adımlarını bu çiftte uygulayın.
3. Gönderilen emrin doğru hesaba ve enstrümana ait olduğunu doğrulayın.</t>
        </is>
      </c>
      <c r="G23" s="19" t="inlineStr">
        <is>
          <t xml:space="preserve">Yeni çift için gönderilen emir doğru hesap ve enstrümanla emir listesinde görünür. A01 aynı çiftte tamamlandıysa kanıtı burada tekrar kullanın.</t>
        </is>
      </c>
      <c r="H23" s="19"/>
      <c r="I23" s="19" t="inlineStr">
        <is>
          <t xml:space="preserve">Takip tablosu ve Emir Geçmişi.</t>
        </is>
      </c>
      <c r="J23" s="18" t="s">
        <v>79</v>
      </c>
      <c r="K23" s="18" t="s">
        <v>57</v>
      </c>
      <c r="L23" s="22"/>
      <c r="M23" s="21"/>
    </row>
    <row r="24" spans="1:13" ht="97.5" customHeight="1" x14ac:dyDescent="0.25">
      <c r="A24" s="17" t="s">
        <v>81</v>
      </c>
      <c r="B24" s="18" t="s">
        <v>12</v>
      </c>
      <c r="C24" s="19" t="inlineStr">
        <is>
          <t xml:space="preserve">Ön koşul</t>
        </is>
      </c>
      <c r="D24" s="19" t="inlineStr">
        <is>
          <t xml:space="preserve">Arbitraj kullanma yetkisi</t>
        </is>
      </c>
      <c r="E24" s="19" t="inlineStr">
        <is>
          <t xml:space="preserve">Yetkili test hesabı hazır; yetkisiz hesap kontrol edilecekse ayrıca hazırlanmış.</t>
        </is>
      </c>
      <c r="F24" s="20" t="inlineStr">
        <is>
          <t xml:space="preserve">1. Yetkili hesapta Arbitraj ekranına ve test çiftine erişin.
2. Hazırsa yetkisiz hesapla aynı işlemi deneyin.
3. Erişim sonucunu ve bildirimi kaydedin.</t>
        </is>
      </c>
      <c r="G24" s="19" t="inlineStr">
        <is>
          <t xml:space="preserve">Yetkili hesap işlemi yapabilir; yetkisiz hesap için erişim/işlem engellenir. İkinci hesap hazırlanmamışsa bu adımı tamamlanmış saymayın.</t>
        </is>
      </c>
      <c r="H24" s="19"/>
      <c r="I24" s="19" t="inlineStr">
        <is>
          <t xml:space="preserve">Arbitraj paneli ve kullanıcı bildirimi.</t>
        </is>
      </c>
      <c r="J24" s="18" t="s">
        <v>87</v>
      </c>
      <c r="K24" s="18" t="s">
        <v>88</v>
      </c>
      <c r="L24" s="22"/>
      <c r="M24" s="21"/>
    </row>
    <row r="25" spans="1:13" ht="15" customHeight="1" x14ac:dyDescent="0.25">
      <c r="A25" s="23"/>
      <c r="B25" s="18"/>
      <c r="C25" s="21"/>
      <c r="D25" s="21"/>
      <c r="E25" s="21"/>
      <c r="F25" s="21"/>
      <c r="G25" s="21"/>
      <c r="H25" s="21"/>
      <c r="I25" s="21"/>
      <c r="J25" s="21"/>
      <c r="K25" s="21"/>
      <c r="L25" s="21"/>
      <c r="M25" s="21"/>
    </row>
    <row r="26" spans="1:13" ht="15" customHeight="1" x14ac:dyDescent="0.25">
      <c r="A26" s="23"/>
      <c r="B26" s="18"/>
      <c r="C26" s="21"/>
      <c r="D26" s="21"/>
      <c r="E26" s="21"/>
      <c r="F26" s="21"/>
      <c r="G26" s="21"/>
      <c r="H26" s="21"/>
      <c r="I26" s="21"/>
      <c r="J26" s="21"/>
      <c r="K26" s="21"/>
      <c r="L26" s="21"/>
      <c r="M26" s="21"/>
    </row>
    <row r="27" spans="1:13" ht="15" customHeight="1" x14ac:dyDescent="0.25">
      <c r="A27" s="23"/>
      <c r="B27" s="18"/>
      <c r="C27" s="21"/>
      <c r="D27" s="21"/>
      <c r="E27" s="21"/>
      <c r="F27" s="21"/>
      <c r="G27" s="21"/>
      <c r="H27" s="21"/>
      <c r="I27" s="21"/>
      <c r="J27" s="21"/>
      <c r="K27" s="21"/>
      <c r="L27" s="21"/>
      <c r="M27" s="21"/>
    </row>
    <row r="28" spans="1:13" ht="15" customHeight="1" x14ac:dyDescent="0.25">
      <c r="A28" s="23"/>
      <c r="B28" s="18"/>
      <c r="C28" s="21"/>
      <c r="D28" s="21"/>
      <c r="E28" s="21"/>
      <c r="F28" s="21"/>
      <c r="G28" s="21"/>
      <c r="H28" s="21"/>
      <c r="I28" s="21"/>
      <c r="J28" s="21"/>
      <c r="K28" s="21"/>
      <c r="L28" s="21"/>
      <c r="M28" s="21"/>
    </row>
    <row r="29" spans="1:13" ht="15" customHeight="1" x14ac:dyDescent="0.25">
      <c r="A29" s="23"/>
      <c r="B29" s="18"/>
      <c r="C29" s="21"/>
      <c r="D29" s="21"/>
      <c r="E29" s="21"/>
      <c r="F29" s="21"/>
      <c r="G29" s="21"/>
      <c r="H29" s="21"/>
      <c r="I29" s="21"/>
      <c r="J29" s="21"/>
      <c r="K29" s="21"/>
      <c r="L29" s="21"/>
      <c r="M29" s="21"/>
    </row>
    <row r="30" spans="1:13" ht="15" customHeight="1" x14ac:dyDescent="0.25">
      <c r="A30" s="23"/>
      <c r="B30" s="18"/>
      <c r="C30" s="21"/>
      <c r="D30" s="21"/>
      <c r="E30" s="21"/>
      <c r="F30" s="21"/>
      <c r="G30" s="21"/>
      <c r="H30" s="21"/>
      <c r="I30" s="21"/>
      <c r="J30" s="21"/>
      <c r="K30" s="21"/>
      <c r="L30" s="21"/>
      <c r="M30" s="21"/>
    </row>
    <row r="31" spans="1:13" ht="15" customHeight="1" x14ac:dyDescent="0.25">
      <c r="A31" s="23"/>
      <c r="B31" s="18"/>
      <c r="C31" s="21"/>
      <c r="D31" s="21"/>
      <c r="E31" s="21"/>
      <c r="F31" s="21"/>
      <c r="G31" s="21"/>
      <c r="H31" s="21"/>
      <c r="I31" s="21"/>
      <c r="J31" s="21"/>
      <c r="K31" s="21"/>
      <c r="L31" s="21"/>
      <c r="M31" s="21"/>
    </row>
    <row r="32" spans="1:13" ht="15" customHeight="1" x14ac:dyDescent="0.25">
      <c r="A32" s="23"/>
      <c r="B32" s="18"/>
      <c r="C32" s="21"/>
      <c r="D32" s="21"/>
      <c r="E32" s="21"/>
      <c r="F32" s="21"/>
      <c r="G32" s="21"/>
      <c r="H32" s="21"/>
      <c r="I32" s="21"/>
      <c r="J32" s="21"/>
      <c r="K32" s="21"/>
      <c r="L32" s="21"/>
      <c r="M32" s="21"/>
    </row>
    <row r="33" spans="1:13" ht="15" customHeight="1" x14ac:dyDescent="0.25">
      <c r="A33" s="23"/>
      <c r="B33" s="18"/>
      <c r="C33" s="21"/>
      <c r="D33" s="21"/>
      <c r="E33" s="21"/>
      <c r="F33" s="21"/>
      <c r="G33" s="21"/>
      <c r="H33" s="21"/>
      <c r="I33" s="21"/>
      <c r="J33" s="21"/>
      <c r="K33" s="21"/>
      <c r="L33" s="21"/>
      <c r="M33" s="21"/>
    </row>
    <row r="34" spans="1:13" ht="15" customHeight="1" x14ac:dyDescent="0.25">
      <c r="A34" s="23"/>
      <c r="B34" s="18"/>
      <c r="C34" s="21"/>
      <c r="D34" s="21"/>
      <c r="E34" s="21"/>
      <c r="F34" s="21"/>
      <c r="G34" s="21"/>
      <c r="H34" s="21"/>
      <c r="I34" s="21"/>
      <c r="J34" s="21"/>
      <c r="K34" s="21"/>
      <c r="L34" s="21"/>
      <c r="M34" s="21"/>
    </row>
    <row r="35" spans="1:13" ht="15" customHeight="1" x14ac:dyDescent="0.25">
      <c r="A35" s="23"/>
      <c r="B35" s="18"/>
      <c r="C35" s="21"/>
      <c r="D35" s="21"/>
      <c r="E35" s="21"/>
      <c r="F35" s="21"/>
      <c r="G35" s="21"/>
      <c r="H35" s="21"/>
      <c r="I35" s="21"/>
      <c r="J35" s="21"/>
      <c r="K35" s="21"/>
      <c r="L35" s="21"/>
      <c r="M35" s="21"/>
    </row>
    <row r="36" spans="1:13" ht="15" customHeight="1" x14ac:dyDescent="0.25">
      <c r="A36" s="23"/>
      <c r="B36" s="18"/>
      <c r="C36" s="21"/>
      <c r="D36" s="21"/>
      <c r="E36" s="21"/>
      <c r="F36" s="21"/>
      <c r="G36" s="21"/>
      <c r="H36" s="21"/>
      <c r="I36" s="21"/>
      <c r="J36" s="21"/>
      <c r="K36" s="21"/>
      <c r="L36" s="21"/>
      <c r="M36" s="21"/>
    </row>
    <row r="37" spans="1:13" ht="15" customHeight="1" x14ac:dyDescent="0.25">
      <c r="A37" s="23"/>
      <c r="B37" s="18"/>
      <c r="C37" s="21"/>
      <c r="D37" s="21"/>
      <c r="E37" s="21"/>
      <c r="F37" s="21"/>
      <c r="G37" s="21"/>
      <c r="H37" s="21"/>
      <c r="I37" s="21"/>
      <c r="J37" s="21"/>
      <c r="K37" s="21"/>
      <c r="L37" s="21"/>
      <c r="M37" s="21"/>
    </row>
    <row r="38" spans="1:13" ht="15" customHeight="1" x14ac:dyDescent="0.25">
      <c r="A38" s="23"/>
      <c r="B38" s="18"/>
      <c r="C38" s="21"/>
      <c r="D38" s="21"/>
      <c r="E38" s="21"/>
      <c r="F38" s="21"/>
      <c r="G38" s="21"/>
      <c r="H38" s="21"/>
      <c r="I38" s="21"/>
      <c r="J38" s="21"/>
      <c r="K38" s="21"/>
      <c r="L38" s="21"/>
      <c r="M38" s="21"/>
    </row>
    <row r="39" spans="1:13" ht="15" customHeight="1" x14ac:dyDescent="0.25">
      <c r="A39" s="23"/>
      <c r="B39" s="18"/>
      <c r="C39" s="21"/>
      <c r="D39" s="21"/>
      <c r="E39" s="21"/>
      <c r="F39" s="21"/>
      <c r="G39" s="21"/>
      <c r="H39" s="21"/>
      <c r="I39" s="21"/>
      <c r="J39" s="21"/>
      <c r="K39" s="21"/>
      <c r="L39" s="21"/>
      <c r="M39" s="21"/>
    </row>
    <row r="40" spans="1:13" ht="15" customHeight="1" x14ac:dyDescent="0.25">
      <c r="A40" s="23"/>
      <c r="B40" s="18"/>
      <c r="C40" s="21"/>
      <c r="D40" s="21"/>
      <c r="E40" s="21"/>
      <c r="F40" s="21"/>
      <c r="G40" s="21"/>
      <c r="H40" s="21"/>
      <c r="I40" s="21"/>
      <c r="J40" s="21"/>
      <c r="K40" s="21"/>
      <c r="L40" s="21"/>
      <c r="M40" s="21"/>
    </row>
    <row r="41" spans="1:13" ht="15" customHeight="1" x14ac:dyDescent="0.25">
      <c r="A41" s="23"/>
      <c r="B41" s="18"/>
      <c r="C41" s="21"/>
      <c r="D41" s="21"/>
      <c r="E41" s="21"/>
      <c r="F41" s="21"/>
      <c r="G41" s="21"/>
      <c r="H41" s="21"/>
      <c r="I41" s="21"/>
      <c r="J41" s="21"/>
      <c r="K41" s="21"/>
      <c r="L41" s="21"/>
      <c r="M41" s="21"/>
    </row>
    <row r="42" spans="1:13" ht="15" customHeight="1" x14ac:dyDescent="0.25">
      <c r="A42" s="23"/>
      <c r="B42" s="18"/>
      <c r="C42" s="21"/>
      <c r="D42" s="21"/>
      <c r="E42" s="21"/>
      <c r="F42" s="21"/>
      <c r="G42" s="21"/>
      <c r="H42" s="21"/>
      <c r="I42" s="21"/>
      <c r="J42" s="21"/>
      <c r="K42" s="21"/>
      <c r="L42" s="21"/>
      <c r="M42" s="21"/>
    </row>
    <row r="43" spans="1:13" ht="15" customHeight="1" x14ac:dyDescent="0.25">
      <c r="A43" s="23"/>
      <c r="B43" s="18"/>
      <c r="C43" s="21"/>
      <c r="D43" s="21"/>
      <c r="E43" s="21"/>
      <c r="F43" s="21"/>
      <c r="G43" s="21"/>
      <c r="H43" s="21"/>
      <c r="I43" s="21"/>
      <c r="J43" s="21"/>
      <c r="K43" s="21"/>
      <c r="L43" s="21"/>
      <c r="M43" s="21"/>
    </row>
    <row r="44" spans="1:13" ht="15" customHeight="1" x14ac:dyDescent="0.25">
      <c r="A44" s="23"/>
      <c r="B44" s="18"/>
      <c r="C44" s="21"/>
      <c r="D44" s="21"/>
      <c r="E44" s="21"/>
      <c r="F44" s="21"/>
      <c r="G44" s="21"/>
      <c r="H44" s="21"/>
      <c r="I44" s="21"/>
      <c r="J44" s="21"/>
      <c r="K44" s="21"/>
      <c r="L44" s="21"/>
      <c r="M44" s="21"/>
    </row>
    <row r="45" spans="1:13" ht="15" customHeight="1" x14ac:dyDescent="0.25">
      <c r="A45" s="23"/>
      <c r="B45" s="18"/>
      <c r="C45" s="21"/>
      <c r="D45" s="21"/>
      <c r="E45" s="21"/>
      <c r="F45" s="21"/>
      <c r="G45" s="21"/>
      <c r="H45" s="21"/>
      <c r="I45" s="21"/>
      <c r="J45" s="21"/>
      <c r="K45" s="21"/>
      <c r="L45" s="21"/>
      <c r="M45" s="21"/>
    </row>
    <row r="46" spans="1:13" ht="15" customHeight="1" x14ac:dyDescent="0.25">
      <c r="A46" s="23"/>
      <c r="B46" s="18"/>
      <c r="C46" s="21"/>
      <c r="D46" s="21"/>
      <c r="E46" s="21"/>
      <c r="F46" s="21"/>
      <c r="G46" s="21"/>
      <c r="H46" s="21"/>
      <c r="I46" s="21"/>
      <c r="J46" s="21"/>
      <c r="K46" s="21"/>
      <c r="L46" s="21"/>
      <c r="M46" s="21"/>
    </row>
    <row r="47" spans="1:13" ht="15" customHeight="1" x14ac:dyDescent="0.25">
      <c r="A47" s="23"/>
      <c r="B47" s="18"/>
      <c r="C47" s="21"/>
      <c r="D47" s="21"/>
      <c r="E47" s="21"/>
      <c r="F47" s="21"/>
      <c r="G47" s="21"/>
      <c r="H47" s="21"/>
      <c r="I47" s="21"/>
      <c r="J47" s="21"/>
      <c r="K47" s="21"/>
      <c r="L47" s="21"/>
      <c r="M47" s="21"/>
    </row>
    <row r="48" spans="1:13" ht="15" customHeight="1" x14ac:dyDescent="0.25">
      <c r="A48" s="23"/>
      <c r="B48" s="18"/>
      <c r="C48" s="21"/>
      <c r="D48" s="21"/>
      <c r="E48" s="21"/>
      <c r="F48" s="21"/>
      <c r="G48" s="21"/>
      <c r="H48" s="21"/>
      <c r="I48" s="21"/>
      <c r="J48" s="21"/>
      <c r="K48" s="21"/>
      <c r="L48" s="21"/>
      <c r="M48" s="21"/>
    </row>
    <row r="49" spans="1:13" ht="15" customHeight="1" x14ac:dyDescent="0.25">
      <c r="A49" s="23"/>
      <c r="B49" s="18"/>
      <c r="C49" s="21"/>
      <c r="D49" s="21"/>
      <c r="E49" s="21"/>
      <c r="F49" s="21"/>
      <c r="G49" s="21"/>
      <c r="H49" s="21"/>
      <c r="I49" s="21"/>
      <c r="J49" s="21"/>
      <c r="K49" s="21"/>
      <c r="L49" s="21"/>
      <c r="M49" s="21"/>
    </row>
    <row r="50" spans="1:13" ht="15" customHeight="1" x14ac:dyDescent="0.25">
      <c r="A50" s="23"/>
      <c r="B50" s="18"/>
      <c r="C50" s="21"/>
      <c r="D50" s="21"/>
      <c r="E50" s="21"/>
      <c r="F50" s="21"/>
      <c r="G50" s="21"/>
      <c r="H50" s="21"/>
      <c r="I50" s="21"/>
      <c r="J50" s="21"/>
      <c r="K50" s="21"/>
      <c r="L50" s="21"/>
      <c r="M50" s="21"/>
    </row>
    <row r="51" spans="1:13" ht="15" customHeight="1" x14ac:dyDescent="0.25">
      <c r="A51" s="23"/>
      <c r="B51" s="18"/>
      <c r="C51" s="21"/>
      <c r="D51" s="21"/>
      <c r="E51" s="21"/>
      <c r="F51" s="21"/>
      <c r="G51" s="21"/>
      <c r="H51" s="21"/>
      <c r="I51" s="21"/>
      <c r="J51" s="21"/>
      <c r="K51" s="21"/>
      <c r="L51" s="21"/>
      <c r="M51" s="21"/>
    </row>
    <row r="52" spans="1:13" ht="15" customHeight="1" x14ac:dyDescent="0.25">
      <c r="A52" s="23"/>
      <c r="B52" s="18"/>
      <c r="C52" s="21"/>
      <c r="D52" s="21"/>
      <c r="E52" s="21"/>
      <c r="F52" s="21"/>
      <c r="G52" s="21"/>
      <c r="H52" s="21"/>
      <c r="I52" s="21"/>
      <c r="J52" s="21"/>
      <c r="K52" s="21"/>
      <c r="L52" s="21"/>
      <c r="M52" s="21"/>
    </row>
    <row r="53" spans="1:13" ht="15" customHeight="1" x14ac:dyDescent="0.25">
      <c r="A53" s="23"/>
      <c r="B53" s="18"/>
      <c r="C53" s="21"/>
      <c r="D53" s="21"/>
      <c r="E53" s="21"/>
      <c r="F53" s="21"/>
      <c r="G53" s="21"/>
      <c r="H53" s="21"/>
      <c r="I53" s="21"/>
      <c r="J53" s="21"/>
      <c r="K53" s="21"/>
      <c r="L53" s="21"/>
      <c r="M53" s="21"/>
    </row>
    <row r="54" spans="1:13" ht="15" customHeight="1" x14ac:dyDescent="0.25">
      <c r="A54" s="23"/>
      <c r="B54" s="18"/>
      <c r="C54" s="21"/>
      <c r="D54" s="21"/>
      <c r="E54" s="21"/>
      <c r="F54" s="21"/>
      <c r="G54" s="21"/>
      <c r="H54" s="21"/>
      <c r="I54" s="21"/>
      <c r="J54" s="21"/>
      <c r="K54" s="21"/>
      <c r="L54" s="21"/>
      <c r="M54" s="21"/>
    </row>
    <row r="55" spans="1:13" ht="15" customHeight="1" x14ac:dyDescent="0.25">
      <c r="A55" s="23"/>
      <c r="B55" s="18"/>
      <c r="C55" s="21"/>
      <c r="D55" s="21"/>
      <c r="E55" s="21"/>
      <c r="F55" s="21"/>
      <c r="G55" s="21"/>
      <c r="H55" s="21"/>
      <c r="I55" s="21"/>
      <c r="J55" s="21"/>
      <c r="K55" s="21"/>
      <c r="L55" s="21"/>
      <c r="M55" s="21"/>
    </row>
    <row r="56" spans="1:13" ht="15" customHeight="1" x14ac:dyDescent="0.25">
      <c r="A56" s="23"/>
      <c r="B56" s="18"/>
      <c r="C56" s="21"/>
      <c r="D56" s="21"/>
      <c r="E56" s="21"/>
      <c r="F56" s="21"/>
      <c r="G56" s="21"/>
      <c r="H56" s="21"/>
      <c r="I56" s="21"/>
      <c r="J56" s="21"/>
      <c r="K56" s="21"/>
      <c r="L56" s="21"/>
      <c r="M56" s="21"/>
    </row>
    <row r="57" spans="1:13" ht="15" customHeight="1" x14ac:dyDescent="0.25">
      <c r="A57" s="23"/>
      <c r="B57" s="18"/>
      <c r="C57" s="21"/>
      <c r="D57" s="21"/>
      <c r="E57" s="21"/>
      <c r="F57" s="21"/>
      <c r="G57" s="21"/>
      <c r="H57" s="21"/>
      <c r="I57" s="21"/>
      <c r="J57" s="21"/>
      <c r="K57" s="21"/>
      <c r="L57" s="21"/>
      <c r="M57" s="21"/>
    </row>
    <row r="58" spans="1:13" ht="15" customHeight="1" x14ac:dyDescent="0.25">
      <c r="A58" s="23"/>
      <c r="B58" s="18"/>
      <c r="C58" s="21"/>
      <c r="D58" s="21"/>
      <c r="E58" s="21"/>
      <c r="F58" s="21"/>
      <c r="G58" s="21"/>
      <c r="H58" s="21"/>
      <c r="I58" s="21"/>
      <c r="J58" s="21"/>
      <c r="K58" s="21"/>
      <c r="L58" s="21"/>
      <c r="M58" s="21"/>
    </row>
    <row r="59" spans="1:13" ht="15" customHeight="1" x14ac:dyDescent="0.25">
      <c r="A59" s="23"/>
      <c r="B59" s="18"/>
      <c r="C59" s="21"/>
      <c r="D59" s="21"/>
      <c r="E59" s="21"/>
      <c r="F59" s="21"/>
      <c r="G59" s="21"/>
      <c r="H59" s="21"/>
      <c r="I59" s="21"/>
      <c r="J59" s="21"/>
      <c r="K59" s="21"/>
      <c r="L59" s="21"/>
      <c r="M59" s="21"/>
    </row>
    <row r="60" spans="1:13" ht="15" customHeight="1" x14ac:dyDescent="0.25">
      <c r="A60" s="23"/>
      <c r="B60" s="18"/>
      <c r="C60" s="21"/>
      <c r="D60" s="21"/>
      <c r="E60" s="21"/>
      <c r="F60" s="21"/>
      <c r="G60" s="21"/>
      <c r="H60" s="21"/>
      <c r="I60" s="21"/>
      <c r="J60" s="21"/>
      <c r="K60" s="21"/>
      <c r="L60" s="21"/>
      <c r="M60" s="21"/>
    </row>
    <row r="61" spans="1:13" ht="15" customHeight="1" x14ac:dyDescent="0.25">
      <c r="A61" s="23"/>
      <c r="B61" s="18"/>
      <c r="C61" s="21"/>
      <c r="D61" s="21"/>
      <c r="E61" s="21"/>
      <c r="F61" s="21"/>
      <c r="G61" s="21"/>
      <c r="H61" s="21"/>
      <c r="I61" s="21"/>
      <c r="J61" s="21"/>
      <c r="K61" s="21"/>
      <c r="L61" s="21"/>
      <c r="M61" s="21"/>
    </row>
    <row r="62" spans="1:13" ht="15" customHeight="1" x14ac:dyDescent="0.25">
      <c r="A62" s="23"/>
      <c r="B62" s="18"/>
      <c r="C62" s="21"/>
      <c r="D62" s="21"/>
      <c r="E62" s="21"/>
      <c r="F62" s="21"/>
      <c r="G62" s="21"/>
      <c r="H62" s="21"/>
      <c r="I62" s="21"/>
      <c r="J62" s="21"/>
      <c r="K62" s="21"/>
      <c r="L62" s="21"/>
      <c r="M62" s="21"/>
    </row>
    <row r="63" spans="1:13" ht="15" customHeight="1" x14ac:dyDescent="0.25">
      <c r="A63" s="23"/>
      <c r="B63" s="18"/>
      <c r="C63" s="21"/>
      <c r="D63" s="21"/>
      <c r="E63" s="21"/>
      <c r="F63" s="21"/>
      <c r="G63" s="21"/>
      <c r="H63" s="21"/>
      <c r="I63" s="21"/>
      <c r="J63" s="21"/>
      <c r="K63" s="21"/>
      <c r="L63" s="21"/>
      <c r="M63" s="21"/>
    </row>
    <row r="64" spans="1:13" ht="15" customHeight="1" x14ac:dyDescent="0.25">
      <c r="A64" s="23"/>
      <c r="B64" s="18"/>
      <c r="C64" s="21"/>
      <c r="D64" s="21"/>
      <c r="E64" s="21"/>
      <c r="F64" s="21"/>
      <c r="G64" s="21"/>
      <c r="H64" s="21"/>
      <c r="I64" s="21"/>
      <c r="J64" s="21"/>
      <c r="K64" s="21"/>
      <c r="L64" s="21"/>
      <c r="M64" s="21"/>
    </row>
    <row r="65" spans="1:13" ht="15" customHeight="1" x14ac:dyDescent="0.25">
      <c r="A65" s="23"/>
      <c r="B65" s="18"/>
      <c r="C65" s="21"/>
      <c r="D65" s="21"/>
      <c r="E65" s="21"/>
      <c r="F65" s="21"/>
      <c r="G65" s="21"/>
      <c r="H65" s="21"/>
      <c r="I65" s="21"/>
      <c r="J65" s="21"/>
      <c r="K65" s="21"/>
      <c r="L65" s="21"/>
      <c r="M65" s="21"/>
    </row>
    <row r="66" spans="1:13" ht="15" customHeight="1" x14ac:dyDescent="0.25">
      <c r="A66" s="23"/>
      <c r="B66" s="18"/>
      <c r="C66" s="21"/>
      <c r="D66" s="21"/>
      <c r="E66" s="21"/>
      <c r="F66" s="21"/>
      <c r="G66" s="21"/>
      <c r="H66" s="21"/>
      <c r="I66" s="21"/>
      <c r="J66" s="21"/>
      <c r="K66" s="21"/>
      <c r="L66" s="21"/>
      <c r="M66" s="21"/>
    </row>
    <row r="67" spans="1:13" ht="15" customHeight="1" x14ac:dyDescent="0.25">
      <c r="A67" s="23"/>
      <c r="B67" s="18"/>
      <c r="C67" s="21"/>
      <c r="D67" s="21"/>
      <c r="E67" s="21"/>
      <c r="F67" s="21"/>
      <c r="G67" s="21"/>
      <c r="H67" s="21"/>
      <c r="I67" s="21"/>
      <c r="J67" s="21"/>
      <c r="K67" s="21"/>
      <c r="L67" s="21"/>
      <c r="M67" s="21"/>
    </row>
    <row r="68" spans="1:13" ht="15" customHeight="1" x14ac:dyDescent="0.25">
      <c r="A68" s="23"/>
      <c r="B68" s="18"/>
      <c r="C68" s="21"/>
      <c r="D68" s="21"/>
      <c r="E68" s="21"/>
      <c r="F68" s="21"/>
      <c r="G68" s="21"/>
      <c r="H68" s="21"/>
      <c r="I68" s="21"/>
      <c r="J68" s="21"/>
      <c r="K68" s="21"/>
      <c r="L68" s="21"/>
      <c r="M68" s="21"/>
    </row>
    <row r="69" spans="1:13" ht="15" customHeight="1" x14ac:dyDescent="0.25">
      <c r="A69" s="23"/>
      <c r="B69" s="18"/>
      <c r="C69" s="21"/>
      <c r="D69" s="21"/>
      <c r="E69" s="21"/>
      <c r="F69" s="21"/>
      <c r="G69" s="21"/>
      <c r="H69" s="21"/>
      <c r="I69" s="21"/>
      <c r="J69" s="21"/>
      <c r="K69" s="21"/>
      <c r="L69" s="21"/>
      <c r="M69" s="21"/>
    </row>
    <row r="70" spans="1:13" ht="15" customHeight="1" x14ac:dyDescent="0.25">
      <c r="A70" s="23"/>
      <c r="B70" s="18"/>
      <c r="C70" s="21"/>
      <c r="D70" s="21"/>
      <c r="E70" s="21"/>
      <c r="F70" s="21"/>
      <c r="G70" s="21"/>
      <c r="H70" s="21"/>
      <c r="I70" s="21"/>
      <c r="J70" s="21"/>
      <c r="K70" s="21"/>
      <c r="L70" s="21"/>
      <c r="M70" s="21"/>
    </row>
    <row r="71" spans="1:13" ht="15" customHeight="1" x14ac:dyDescent="0.25">
      <c r="A71" s="23"/>
      <c r="B71" s="18"/>
      <c r="C71" s="21"/>
      <c r="D71" s="21"/>
      <c r="E71" s="21"/>
      <c r="F71" s="21"/>
      <c r="G71" s="21"/>
      <c r="H71" s="21"/>
      <c r="I71" s="21"/>
      <c r="J71" s="21"/>
      <c r="K71" s="21"/>
      <c r="L71" s="21"/>
      <c r="M71" s="21"/>
    </row>
    <row r="72" spans="1:13" ht="15" customHeight="1" x14ac:dyDescent="0.25">
      <c r="A72" s="23"/>
      <c r="B72" s="18"/>
      <c r="C72" s="21"/>
      <c r="D72" s="21"/>
      <c r="E72" s="21"/>
      <c r="F72" s="21"/>
      <c r="G72" s="21"/>
      <c r="H72" s="21"/>
      <c r="I72" s="21"/>
      <c r="J72" s="21"/>
      <c r="K72" s="21"/>
      <c r="L72" s="21"/>
      <c r="M72" s="21"/>
    </row>
    <row r="73" spans="1:13" ht="15" customHeight="1" x14ac:dyDescent="0.25">
      <c r="A73" s="23"/>
      <c r="B73" s="18"/>
      <c r="C73" s="21"/>
      <c r="D73" s="21"/>
      <c r="E73" s="21"/>
      <c r="F73" s="21"/>
      <c r="G73" s="21"/>
      <c r="H73" s="21"/>
      <c r="I73" s="21"/>
      <c r="J73" s="21"/>
      <c r="K73" s="21"/>
      <c r="L73" s="21"/>
      <c r="M73" s="21"/>
    </row>
    <row r="74" spans="1:13" ht="15" customHeight="1" x14ac:dyDescent="0.25">
      <c r="A74" s="23"/>
      <c r="B74" s="18"/>
      <c r="C74" s="21"/>
      <c r="D74" s="21"/>
      <c r="E74" s="21"/>
      <c r="F74" s="21"/>
      <c r="G74" s="21"/>
      <c r="H74" s="21"/>
      <c r="I74" s="21"/>
      <c r="J74" s="21"/>
      <c r="K74" s="21"/>
      <c r="L74" s="21"/>
      <c r="M74" s="21"/>
    </row>
    <row r="75" spans="1:13" ht="15" customHeight="1" x14ac:dyDescent="0.25">
      <c r="A75" s="23"/>
      <c r="B75" s="18"/>
      <c r="C75" s="21"/>
      <c r="D75" s="21"/>
      <c r="E75" s="21"/>
      <c r="F75" s="21"/>
      <c r="G75" s="21"/>
      <c r="H75" s="21"/>
      <c r="I75" s="21"/>
      <c r="J75" s="21"/>
      <c r="K75" s="21"/>
      <c r="L75" s="21"/>
      <c r="M75" s="21"/>
    </row>
    <row r="76" spans="1:13" ht="15" customHeight="1" x14ac:dyDescent="0.25">
      <c r="A76" s="23"/>
      <c r="B76" s="18"/>
      <c r="C76" s="21"/>
      <c r="D76" s="21"/>
      <c r="E76" s="21"/>
      <c r="F76" s="21"/>
      <c r="G76" s="21"/>
      <c r="H76" s="21"/>
      <c r="I76" s="21"/>
      <c r="J76" s="21"/>
      <c r="K76" s="21"/>
      <c r="L76" s="21"/>
      <c r="M76" s="21"/>
    </row>
    <row r="77" spans="1:13" ht="15" customHeight="1" x14ac:dyDescent="0.25">
      <c r="A77" s="23"/>
      <c r="B77" s="18"/>
      <c r="C77" s="21"/>
      <c r="D77" s="21"/>
      <c r="E77" s="21"/>
      <c r="F77" s="21"/>
      <c r="G77" s="21"/>
      <c r="H77" s="21"/>
      <c r="I77" s="21"/>
      <c r="J77" s="21"/>
      <c r="K77" s="21"/>
      <c r="L77" s="21"/>
      <c r="M77" s="21"/>
    </row>
    <row r="78" spans="1:13" ht="15" customHeight="1" x14ac:dyDescent="0.25">
      <c r="A78" s="23"/>
      <c r="B78" s="18"/>
      <c r="C78" s="21"/>
      <c r="D78" s="21"/>
      <c r="E78" s="21"/>
      <c r="F78" s="21"/>
      <c r="G78" s="21"/>
      <c r="H78" s="21"/>
      <c r="I78" s="21"/>
      <c r="J78" s="21"/>
      <c r="K78" s="21"/>
      <c r="L78" s="21"/>
      <c r="M78" s="21"/>
    </row>
    <row r="79" spans="1:13" ht="15" customHeight="1" x14ac:dyDescent="0.25">
      <c r="A79" s="23"/>
      <c r="B79" s="18"/>
      <c r="C79" s="21"/>
      <c r="D79" s="21"/>
      <c r="E79" s="21"/>
      <c r="F79" s="21"/>
      <c r="G79" s="21"/>
      <c r="H79" s="21"/>
      <c r="I79" s="21"/>
      <c r="J79" s="21"/>
      <c r="K79" s="21"/>
      <c r="L79" s="21"/>
      <c r="M79" s="21"/>
    </row>
    <row r="80" spans="1:13" ht="15" customHeight="1" x14ac:dyDescent="0.25">
      <c r="A80" s="23"/>
      <c r="B80" s="18"/>
      <c r="C80" s="21"/>
      <c r="D80" s="21"/>
      <c r="E80" s="21"/>
      <c r="F80" s="21"/>
      <c r="G80" s="21"/>
      <c r="H80" s="21"/>
      <c r="I80" s="21"/>
      <c r="J80" s="21"/>
      <c r="K80" s="21"/>
      <c r="L80" s="21"/>
      <c r="M80" s="21"/>
    </row>
    <row r="81" spans="1:13" ht="15" customHeight="1" x14ac:dyDescent="0.25">
      <c r="A81" s="23"/>
      <c r="B81" s="18"/>
      <c r="C81" s="21"/>
      <c r="D81" s="21"/>
      <c r="E81" s="21"/>
      <c r="F81" s="21"/>
      <c r="G81" s="21"/>
      <c r="H81" s="21"/>
      <c r="I81" s="21"/>
      <c r="J81" s="21"/>
      <c r="K81" s="21"/>
      <c r="L81" s="21"/>
      <c r="M81" s="21"/>
    </row>
    <row r="82" spans="1:13" ht="15" customHeight="1" x14ac:dyDescent="0.25">
      <c r="A82" s="23"/>
      <c r="B82" s="18"/>
      <c r="C82" s="21"/>
      <c r="D82" s="21"/>
      <c r="E82" s="21"/>
      <c r="F82" s="21"/>
      <c r="G82" s="21"/>
      <c r="H82" s="21"/>
      <c r="I82" s="21"/>
      <c r="J82" s="21"/>
      <c r="K82" s="21"/>
      <c r="L82" s="21"/>
      <c r="M82" s="21"/>
    </row>
    <row r="83" spans="1:13" ht="15" customHeight="1" x14ac:dyDescent="0.25">
      <c r="A83" s="23"/>
      <c r="B83" s="18"/>
      <c r="C83" s="21"/>
      <c r="D83" s="21"/>
      <c r="E83" s="21"/>
      <c r="F83" s="21"/>
      <c r="G83" s="21"/>
      <c r="H83" s="21"/>
      <c r="I83" s="21"/>
      <c r="J83" s="21"/>
      <c r="K83" s="21"/>
      <c r="L83" s="21"/>
      <c r="M83" s="21"/>
    </row>
    <row r="84" spans="1:13" ht="15" customHeight="1" x14ac:dyDescent="0.25">
      <c r="A84" s="23"/>
      <c r="B84" s="18"/>
      <c r="C84" s="21"/>
      <c r="D84" s="21"/>
      <c r="E84" s="21"/>
      <c r="F84" s="21"/>
      <c r="G84" s="21"/>
      <c r="H84" s="21"/>
      <c r="I84" s="21"/>
      <c r="J84" s="21"/>
      <c r="K84" s="21"/>
      <c r="L84" s="21"/>
      <c r="M84" s="21"/>
    </row>
    <row r="85" spans="1:13" ht="15" customHeight="1" x14ac:dyDescent="0.25">
      <c r="A85" s="23"/>
      <c r="B85" s="18"/>
      <c r="C85" s="21"/>
      <c r="D85" s="21"/>
      <c r="E85" s="21"/>
      <c r="F85" s="21"/>
      <c r="G85" s="21"/>
      <c r="H85" s="21"/>
      <c r="I85" s="21"/>
      <c r="J85" s="21"/>
      <c r="K85" s="21"/>
      <c r="L85" s="21"/>
      <c r="M85" s="21"/>
    </row>
    <row r="86" spans="1:13" ht="15" customHeight="1" x14ac:dyDescent="0.25">
      <c r="A86" s="23"/>
      <c r="B86" s="18"/>
      <c r="C86" s="21"/>
      <c r="D86" s="21"/>
      <c r="E86" s="21"/>
      <c r="F86" s="21"/>
      <c r="G86" s="21"/>
      <c r="H86" s="21"/>
      <c r="I86" s="21"/>
      <c r="J86" s="21"/>
      <c r="K86" s="21"/>
      <c r="L86" s="21"/>
      <c r="M86" s="21"/>
    </row>
    <row r="87" spans="1:13" ht="15" customHeight="1" x14ac:dyDescent="0.25">
      <c r="A87" s="23"/>
      <c r="B87" s="18"/>
      <c r="C87" s="21"/>
      <c r="D87" s="21"/>
      <c r="E87" s="21"/>
      <c r="F87" s="21"/>
      <c r="G87" s="21"/>
      <c r="H87" s="21"/>
      <c r="I87" s="21"/>
      <c r="J87" s="21"/>
      <c r="K87" s="21"/>
      <c r="L87" s="21"/>
      <c r="M87" s="21"/>
    </row>
    <row r="88" spans="1:13" ht="15" customHeight="1" x14ac:dyDescent="0.25">
      <c r="A88" s="23"/>
      <c r="B88" s="18"/>
      <c r="C88" s="21"/>
      <c r="D88" s="21"/>
      <c r="E88" s="21"/>
      <c r="F88" s="21"/>
      <c r="G88" s="21"/>
      <c r="H88" s="21"/>
      <c r="I88" s="21"/>
      <c r="J88" s="21"/>
      <c r="K88" s="21"/>
      <c r="L88" s="21"/>
      <c r="M88" s="21"/>
    </row>
    <row r="89" spans="1:13" ht="15" customHeight="1" x14ac:dyDescent="0.25">
      <c r="A89" s="23"/>
      <c r="B89" s="18"/>
      <c r="C89" s="21"/>
      <c r="D89" s="21"/>
      <c r="E89" s="21"/>
      <c r="F89" s="21"/>
      <c r="G89" s="21"/>
      <c r="H89" s="21"/>
      <c r="I89" s="21"/>
      <c r="J89" s="21"/>
      <c r="K89" s="21"/>
      <c r="L89" s="21"/>
      <c r="M89" s="21"/>
    </row>
    <row r="90" spans="1:13" ht="15" customHeight="1" x14ac:dyDescent="0.25">
      <c r="A90" s="23"/>
      <c r="B90" s="18"/>
      <c r="C90" s="21"/>
      <c r="D90" s="21"/>
      <c r="E90" s="21"/>
      <c r="F90" s="21"/>
      <c r="G90" s="21"/>
      <c r="H90" s="21"/>
      <c r="I90" s="21"/>
      <c r="J90" s="21"/>
      <c r="K90" s="21"/>
      <c r="L90" s="21"/>
      <c r="M90" s="21"/>
    </row>
    <row r="91" spans="1:13" ht="15" customHeight="1" x14ac:dyDescent="0.25">
      <c r="A91" s="23"/>
      <c r="B91" s="18"/>
      <c r="C91" s="21"/>
      <c r="D91" s="21"/>
      <c r="E91" s="21"/>
      <c r="F91" s="21"/>
      <c r="G91" s="21"/>
      <c r="H91" s="21"/>
      <c r="I91" s="21"/>
      <c r="J91" s="21"/>
      <c r="K91" s="21"/>
      <c r="L91" s="21"/>
      <c r="M91" s="21"/>
    </row>
    <row r="92" spans="1:13" ht="15" customHeight="1" x14ac:dyDescent="0.25">
      <c r="A92" s="23"/>
      <c r="B92" s="18"/>
      <c r="C92" s="21"/>
      <c r="D92" s="21"/>
      <c r="E92" s="21"/>
      <c r="F92" s="21"/>
      <c r="G92" s="21"/>
      <c r="H92" s="21"/>
      <c r="I92" s="21"/>
      <c r="J92" s="21"/>
      <c r="K92" s="21"/>
      <c r="L92" s="21"/>
      <c r="M92" s="21"/>
    </row>
    <row r="93" spans="1:13" ht="15" customHeight="1" x14ac:dyDescent="0.25">
      <c r="A93" s="23"/>
      <c r="B93" s="18"/>
      <c r="C93" s="21"/>
      <c r="D93" s="21"/>
      <c r="E93" s="21"/>
      <c r="F93" s="21"/>
      <c r="G93" s="21"/>
      <c r="H93" s="21"/>
      <c r="I93" s="21"/>
      <c r="J93" s="21"/>
      <c r="K93" s="21"/>
      <c r="L93" s="21"/>
      <c r="M93" s="21"/>
    </row>
    <row r="94" spans="1:13" ht="15" customHeight="1" x14ac:dyDescent="0.25">
      <c r="A94" s="23"/>
      <c r="B94" s="18"/>
      <c r="C94" s="21"/>
      <c r="D94" s="21"/>
      <c r="E94" s="21"/>
      <c r="F94" s="21"/>
      <c r="G94" s="21"/>
      <c r="H94" s="21"/>
      <c r="I94" s="21"/>
      <c r="J94" s="21"/>
      <c r="K94" s="21"/>
      <c r="L94" s="21"/>
      <c r="M94" s="21"/>
    </row>
    <row r="95" spans="1:13" ht="15" customHeight="1" x14ac:dyDescent="0.25">
      <c r="A95" s="23"/>
      <c r="B95" s="18"/>
      <c r="C95" s="21"/>
      <c r="D95" s="21"/>
      <c r="E95" s="21"/>
      <c r="F95" s="21"/>
      <c r="G95" s="21"/>
      <c r="H95" s="21"/>
      <c r="I95" s="21"/>
      <c r="J95" s="21"/>
      <c r="K95" s="21"/>
      <c r="L95" s="21"/>
      <c r="M95" s="21"/>
    </row>
    <row r="96" spans="1:13" ht="15" customHeight="1" x14ac:dyDescent="0.25">
      <c r="A96" s="23"/>
      <c r="B96" s="18"/>
      <c r="C96" s="21"/>
      <c r="D96" s="21"/>
      <c r="E96" s="21"/>
      <c r="F96" s="21"/>
      <c r="G96" s="21"/>
      <c r="H96" s="21"/>
      <c r="I96" s="21"/>
      <c r="J96" s="21"/>
      <c r="K96" s="21"/>
      <c r="L96" s="21"/>
      <c r="M96" s="21"/>
    </row>
    <row r="97" spans="1:13" ht="15" customHeight="1" x14ac:dyDescent="0.25">
      <c r="A97" s="23"/>
      <c r="B97" s="18"/>
      <c r="C97" s="21"/>
      <c r="D97" s="21"/>
      <c r="E97" s="21"/>
      <c r="F97" s="21"/>
      <c r="G97" s="21"/>
      <c r="H97" s="21"/>
      <c r="I97" s="21"/>
      <c r="J97" s="21"/>
      <c r="K97" s="21"/>
      <c r="L97" s="21"/>
      <c r="M97" s="21"/>
    </row>
    <row r="98" spans="1:13" ht="15" customHeight="1" x14ac:dyDescent="0.25">
      <c r="A98" s="23"/>
      <c r="B98" s="18"/>
      <c r="C98" s="21"/>
      <c r="D98" s="21"/>
      <c r="E98" s="21"/>
      <c r="F98" s="21"/>
      <c r="G98" s="21"/>
      <c r="H98" s="21"/>
      <c r="I98" s="21"/>
      <c r="J98" s="21"/>
      <c r="K98" s="21"/>
      <c r="L98" s="21"/>
      <c r="M98" s="21"/>
    </row>
    <row r="99" spans="1:13" ht="15" customHeight="1" x14ac:dyDescent="0.25">
      <c r="A99" s="23"/>
      <c r="B99" s="18"/>
      <c r="C99" s="21"/>
      <c r="D99" s="21"/>
      <c r="E99" s="21"/>
      <c r="F99" s="21"/>
      <c r="G99" s="21"/>
      <c r="H99" s="21"/>
      <c r="I99" s="21"/>
      <c r="J99" s="21"/>
      <c r="K99" s="21"/>
      <c r="L99" s="21"/>
      <c r="M99" s="21"/>
    </row>
    <row r="100" spans="1:13" ht="15" customHeight="1" x14ac:dyDescent="0.25">
      <c r="A100" s="23"/>
      <c r="B100" s="18"/>
      <c r="C100" s="21"/>
      <c r="D100" s="21"/>
      <c r="E100" s="21"/>
      <c r="F100" s="21"/>
      <c r="G100" s="21"/>
      <c r="H100" s="21"/>
      <c r="I100" s="21"/>
      <c r="J100" s="21"/>
      <c r="K100" s="21"/>
      <c r="L100" s="21"/>
      <c r="M100" s="21"/>
    </row>
    <row r="101" spans="1:13" ht="15" customHeight="1" x14ac:dyDescent="0.25">
      <c r="A101" s="23"/>
      <c r="B101" s="18"/>
      <c r="C101" s="21"/>
      <c r="D101" s="21"/>
      <c r="E101" s="21"/>
      <c r="F101" s="21"/>
      <c r="G101" s="21"/>
      <c r="H101" s="21"/>
      <c r="I101" s="21"/>
      <c r="J101" s="21"/>
      <c r="K101" s="21"/>
      <c r="L101" s="21"/>
      <c r="M101" s="21"/>
    </row>
    <row r="102" spans="1:13" ht="15" customHeight="1" x14ac:dyDescent="0.25">
      <c r="A102" s="23"/>
      <c r="B102" s="18"/>
      <c r="C102" s="21"/>
      <c r="D102" s="21"/>
      <c r="E102" s="21"/>
      <c r="F102" s="21"/>
      <c r="G102" s="21"/>
      <c r="H102" s="21"/>
      <c r="I102" s="21"/>
      <c r="J102" s="21"/>
      <c r="K102" s="21"/>
      <c r="L102" s="21"/>
      <c r="M102" s="21"/>
    </row>
    <row r="103" spans="1:13" ht="15" customHeight="1" x14ac:dyDescent="0.25">
      <c r="A103" s="23"/>
      <c r="B103" s="18"/>
      <c r="C103" s="21"/>
      <c r="D103" s="21"/>
      <c r="E103" s="21"/>
      <c r="F103" s="21"/>
      <c r="G103" s="21"/>
      <c r="H103" s="21"/>
      <c r="I103" s="21"/>
      <c r="J103" s="21"/>
      <c r="K103" s="21"/>
      <c r="L103" s="21"/>
      <c r="M103" s="21"/>
    </row>
    <row r="104" spans="1:13" ht="15" customHeight="1" x14ac:dyDescent="0.25">
      <c r="A104" s="23"/>
      <c r="B104" s="18"/>
      <c r="C104" s="21"/>
      <c r="D104" s="21"/>
      <c r="E104" s="21"/>
      <c r="F104" s="21"/>
      <c r="G104" s="21"/>
      <c r="H104" s="21"/>
      <c r="I104" s="21"/>
      <c r="J104" s="21"/>
      <c r="K104" s="21"/>
      <c r="L104" s="21"/>
      <c r="M104" s="21"/>
    </row>
    <row r="105" spans="1:13" ht="15" customHeight="1" x14ac:dyDescent="0.25">
      <c r="A105" s="23"/>
      <c r="B105" s="18"/>
      <c r="C105" s="21"/>
      <c r="D105" s="21"/>
      <c r="E105" s="21"/>
      <c r="F105" s="21"/>
      <c r="G105" s="21"/>
      <c r="H105" s="21"/>
      <c r="I105" s="21"/>
      <c r="J105" s="21"/>
      <c r="K105" s="21"/>
      <c r="L105" s="21"/>
      <c r="M105" s="21"/>
    </row>
    <row r="106" spans="1:13" ht="15" customHeight="1" x14ac:dyDescent="0.25">
      <c r="A106" s="23"/>
      <c r="B106" s="18"/>
      <c r="C106" s="21"/>
      <c r="D106" s="21"/>
      <c r="E106" s="21"/>
      <c r="F106" s="21"/>
      <c r="G106" s="21"/>
      <c r="H106" s="21"/>
      <c r="I106" s="21"/>
      <c r="J106" s="21"/>
      <c r="K106" s="21"/>
      <c r="L106" s="21"/>
      <c r="M106" s="21"/>
    </row>
    <row r="107" spans="1:13" ht="15" customHeight="1" x14ac:dyDescent="0.25">
      <c r="A107" s="23"/>
      <c r="B107" s="18"/>
      <c r="C107" s="21"/>
      <c r="D107" s="21"/>
      <c r="E107" s="21"/>
      <c r="F107" s="21"/>
      <c r="G107" s="21"/>
      <c r="H107" s="21"/>
      <c r="I107" s="21"/>
      <c r="J107" s="21"/>
      <c r="K107" s="21"/>
      <c r="L107" s="21"/>
      <c r="M107" s="21"/>
    </row>
    <row r="108" spans="1:13" ht="15" customHeight="1" x14ac:dyDescent="0.25">
      <c r="A108" s="23"/>
      <c r="B108" s="18"/>
      <c r="C108" s="21"/>
      <c r="D108" s="21"/>
      <c r="E108" s="21"/>
      <c r="F108" s="21"/>
      <c r="G108" s="21"/>
      <c r="H108" s="21"/>
      <c r="I108" s="21"/>
      <c r="J108" s="21"/>
      <c r="K108" s="21"/>
      <c r="L108" s="21"/>
      <c r="M108" s="21"/>
    </row>
    <row r="109" spans="1:13" ht="15" customHeight="1" x14ac:dyDescent="0.25">
      <c r="A109" s="23"/>
      <c r="B109" s="18"/>
      <c r="C109" s="21"/>
      <c r="D109" s="21"/>
      <c r="E109" s="21"/>
      <c r="F109" s="21"/>
      <c r="G109" s="21"/>
      <c r="H109" s="21"/>
      <c r="I109" s="21"/>
      <c r="J109" s="21"/>
      <c r="K109" s="21"/>
      <c r="L109" s="21"/>
      <c r="M109" s="21"/>
    </row>
    <row r="110" spans="1:13" ht="15" customHeight="1" x14ac:dyDescent="0.25">
      <c r="A110" s="23"/>
      <c r="B110" s="18"/>
      <c r="C110" s="21"/>
      <c r="D110" s="21"/>
      <c r="E110" s="21"/>
      <c r="F110" s="21"/>
      <c r="G110" s="21"/>
      <c r="H110" s="21"/>
      <c r="I110" s="21"/>
      <c r="J110" s="21"/>
      <c r="K110" s="21"/>
      <c r="L110" s="21"/>
      <c r="M110" s="21"/>
    </row>
    <row r="111" spans="1:13" ht="15" customHeight="1" x14ac:dyDescent="0.25">
      <c r="A111" s="23"/>
      <c r="B111" s="18"/>
      <c r="C111" s="21"/>
      <c r="D111" s="21"/>
      <c r="E111" s="21"/>
      <c r="F111" s="21"/>
      <c r="G111" s="21"/>
      <c r="H111" s="21"/>
      <c r="I111" s="21"/>
      <c r="J111" s="21"/>
      <c r="K111" s="21"/>
      <c r="L111" s="21"/>
      <c r="M111" s="21"/>
    </row>
    <row r="112" spans="1:13" ht="15" customHeight="1" x14ac:dyDescent="0.25">
      <c r="A112" s="23"/>
      <c r="B112" s="18"/>
      <c r="C112" s="21"/>
      <c r="D112" s="21"/>
      <c r="E112" s="21"/>
      <c r="F112" s="21"/>
      <c r="G112" s="21"/>
      <c r="H112" s="21"/>
      <c r="I112" s="21"/>
      <c r="J112" s="21"/>
      <c r="K112" s="21"/>
      <c r="L112" s="21"/>
      <c r="M112" s="21"/>
    </row>
    <row r="113" spans="1:13" ht="15" customHeight="1" x14ac:dyDescent="0.25">
      <c r="A113" s="23"/>
      <c r="B113" s="18"/>
      <c r="C113" s="21"/>
      <c r="D113" s="21"/>
      <c r="E113" s="21"/>
      <c r="F113" s="21"/>
      <c r="G113" s="21"/>
      <c r="H113" s="21"/>
      <c r="I113" s="21"/>
      <c r="J113" s="21"/>
      <c r="K113" s="21"/>
      <c r="L113" s="21"/>
      <c r="M113" s="21"/>
    </row>
    <row r="114" spans="1:13" ht="15" customHeight="1" x14ac:dyDescent="0.25">
      <c r="A114" s="23"/>
      <c r="B114" s="18"/>
      <c r="C114" s="21"/>
      <c r="D114" s="21"/>
      <c r="E114" s="21"/>
      <c r="F114" s="21"/>
      <c r="G114" s="21"/>
      <c r="H114" s="21"/>
      <c r="I114" s="21"/>
      <c r="J114" s="21"/>
      <c r="K114" s="21"/>
      <c r="L114" s="21"/>
      <c r="M114" s="21"/>
    </row>
    <row r="115" spans="1:13" ht="15" customHeight="1" x14ac:dyDescent="0.25">
      <c r="A115" s="23"/>
      <c r="B115" s="18"/>
      <c r="C115" s="21"/>
      <c r="D115" s="21"/>
      <c r="E115" s="21"/>
      <c r="F115" s="21"/>
      <c r="G115" s="21"/>
      <c r="H115" s="21"/>
      <c r="I115" s="21"/>
      <c r="J115" s="21"/>
      <c r="K115" s="21"/>
      <c r="L115" s="21"/>
      <c r="M115" s="21"/>
    </row>
    <row r="116" spans="1:13" ht="15" customHeight="1" x14ac:dyDescent="0.25">
      <c r="A116" s="23"/>
      <c r="B116" s="18"/>
      <c r="C116" s="21"/>
      <c r="D116" s="21"/>
      <c r="E116" s="21"/>
      <c r="F116" s="21"/>
      <c r="G116" s="21"/>
      <c r="H116" s="21"/>
      <c r="I116" s="21"/>
      <c r="J116" s="21"/>
      <c r="K116" s="21"/>
      <c r="L116" s="21"/>
      <c r="M116" s="21"/>
    </row>
    <row r="117" spans="1:13" ht="15" customHeight="1" x14ac:dyDescent="0.25">
      <c r="A117" s="23"/>
      <c r="B117" s="18"/>
      <c r="C117" s="21"/>
      <c r="D117" s="21"/>
      <c r="E117" s="21"/>
      <c r="F117" s="21"/>
      <c r="G117" s="21"/>
      <c r="H117" s="21"/>
      <c r="I117" s="21"/>
      <c r="J117" s="21"/>
      <c r="K117" s="21"/>
      <c r="L117" s="21"/>
      <c r="M117" s="21"/>
    </row>
    <row r="118" spans="1:13" ht="15" customHeight="1" x14ac:dyDescent="0.25">
      <c r="A118" s="23"/>
      <c r="B118" s="18"/>
      <c r="C118" s="21"/>
      <c r="D118" s="21"/>
      <c r="E118" s="21"/>
      <c r="F118" s="21"/>
      <c r="G118" s="21"/>
      <c r="H118" s="21"/>
      <c r="I118" s="21"/>
      <c r="J118" s="21"/>
      <c r="K118" s="21"/>
      <c r="L118" s="21"/>
      <c r="M118" s="21"/>
    </row>
    <row r="119" spans="1:13" ht="15" customHeight="1" x14ac:dyDescent="0.25">
      <c r="A119" s="23"/>
      <c r="B119" s="18"/>
      <c r="C119" s="21"/>
      <c r="D119" s="21"/>
      <c r="E119" s="21"/>
      <c r="F119" s="21"/>
      <c r="G119" s="21"/>
      <c r="H119" s="21"/>
      <c r="I119" s="21"/>
      <c r="J119" s="21"/>
      <c r="K119" s="21"/>
      <c r="L119" s="21"/>
      <c r="M119" s="21"/>
    </row>
    <row r="120" spans="1:13" ht="15" customHeight="1" x14ac:dyDescent="0.25">
      <c r="A120" s="23"/>
      <c r="B120" s="18"/>
      <c r="C120" s="21"/>
      <c r="D120" s="21"/>
      <c r="E120" s="21"/>
      <c r="F120" s="21"/>
      <c r="G120" s="21"/>
      <c r="H120" s="21"/>
      <c r="I120" s="21"/>
      <c r="J120" s="21"/>
      <c r="K120" s="21"/>
      <c r="L120" s="21"/>
      <c r="M120" s="21"/>
    </row>
    <row r="121" spans="1:13" ht="15" customHeight="1" x14ac:dyDescent="0.25">
      <c r="A121" s="23"/>
      <c r="B121" s="18"/>
      <c r="C121" s="21"/>
      <c r="D121" s="21"/>
      <c r="E121" s="21"/>
      <c r="F121" s="21"/>
      <c r="G121" s="21"/>
      <c r="H121" s="21"/>
      <c r="I121" s="21"/>
      <c r="J121" s="21"/>
      <c r="K121" s="21"/>
      <c r="L121" s="21"/>
      <c r="M121" s="21"/>
    </row>
    <row r="122" spans="1:13" ht="15" customHeight="1" x14ac:dyDescent="0.25">
      <c r="A122" s="23"/>
      <c r="B122" s="18"/>
      <c r="C122" s="21"/>
      <c r="D122" s="21"/>
      <c r="E122" s="21"/>
      <c r="F122" s="21"/>
      <c r="G122" s="21"/>
      <c r="H122" s="21"/>
      <c r="I122" s="21"/>
      <c r="J122" s="21"/>
      <c r="K122" s="21"/>
      <c r="L122" s="21"/>
      <c r="M122" s="21"/>
    </row>
    <row r="123" spans="1:13" ht="15" customHeight="1" x14ac:dyDescent="0.25">
      <c r="A123" s="23"/>
      <c r="B123" s="18"/>
      <c r="C123" s="21"/>
      <c r="D123" s="21"/>
      <c r="E123" s="21"/>
      <c r="F123" s="21"/>
      <c r="G123" s="21"/>
      <c r="H123" s="21"/>
      <c r="I123" s="21"/>
      <c r="J123" s="21"/>
      <c r="K123" s="21"/>
      <c r="L123" s="21"/>
      <c r="M123" s="21"/>
    </row>
    <row r="124" spans="1:13" ht="15" customHeight="1" x14ac:dyDescent="0.25">
      <c r="A124" s="23"/>
      <c r="B124" s="18"/>
      <c r="C124" s="21"/>
      <c r="D124" s="21"/>
      <c r="E124" s="21"/>
      <c r="F124" s="21"/>
      <c r="G124" s="21"/>
      <c r="H124" s="21"/>
      <c r="I124" s="21"/>
      <c r="J124" s="21"/>
      <c r="K124" s="21"/>
      <c r="L124" s="21"/>
      <c r="M124" s="21"/>
    </row>
    <row r="125" spans="1:13" ht="15" customHeight="1" x14ac:dyDescent="0.25">
      <c r="A125" s="23"/>
      <c r="B125" s="18"/>
      <c r="C125" s="21"/>
      <c r="D125" s="21"/>
      <c r="E125" s="21"/>
      <c r="F125" s="21"/>
      <c r="G125" s="21"/>
      <c r="H125" s="21"/>
      <c r="I125" s="21"/>
      <c r="J125" s="21"/>
      <c r="K125" s="21"/>
      <c r="L125" s="21"/>
      <c r="M125" s="21"/>
    </row>
    <row r="126" spans="1:13" ht="15" customHeight="1" x14ac:dyDescent="0.25">
      <c r="A126" s="23"/>
      <c r="B126" s="18"/>
      <c r="C126" s="21"/>
      <c r="D126" s="21"/>
      <c r="E126" s="21"/>
      <c r="F126" s="21"/>
      <c r="G126" s="21"/>
      <c r="H126" s="21"/>
      <c r="I126" s="21"/>
      <c r="J126" s="21"/>
      <c r="K126" s="21"/>
      <c r="L126" s="21"/>
      <c r="M126" s="21"/>
    </row>
    <row r="127" spans="1:13" ht="15" customHeight="1" x14ac:dyDescent="0.25">
      <c r="A127" s="23"/>
      <c r="B127" s="18"/>
      <c r="C127" s="21"/>
      <c r="D127" s="21"/>
      <c r="E127" s="21"/>
      <c r="F127" s="21"/>
      <c r="G127" s="21"/>
      <c r="H127" s="21"/>
      <c r="I127" s="21"/>
      <c r="J127" s="21"/>
      <c r="K127" s="21"/>
      <c r="L127" s="21"/>
      <c r="M127" s="21"/>
    </row>
    <row r="128" spans="1:13" ht="15" customHeight="1" x14ac:dyDescent="0.25">
      <c r="A128" s="23"/>
      <c r="B128" s="18"/>
      <c r="C128" s="21"/>
      <c r="D128" s="21"/>
      <c r="E128" s="21"/>
      <c r="F128" s="21"/>
      <c r="G128" s="21"/>
      <c r="H128" s="21"/>
      <c r="I128" s="21"/>
      <c r="J128" s="21"/>
      <c r="K128" s="21"/>
      <c r="L128" s="21"/>
      <c r="M128" s="21"/>
    </row>
    <row r="129" spans="1:13" ht="15" customHeight="1" x14ac:dyDescent="0.25">
      <c r="A129" s="23"/>
      <c r="B129" s="18"/>
      <c r="C129" s="21"/>
      <c r="D129" s="21"/>
      <c r="E129" s="21"/>
      <c r="F129" s="21"/>
      <c r="G129" s="21"/>
      <c r="H129" s="21"/>
      <c r="I129" s="21"/>
      <c r="J129" s="21"/>
      <c r="K129" s="21"/>
      <c r="L129" s="21"/>
      <c r="M129" s="21"/>
    </row>
    <row r="130" spans="1:13" ht="15" customHeight="1" x14ac:dyDescent="0.25">
      <c r="A130" s="23"/>
      <c r="B130" s="18"/>
      <c r="C130" s="21"/>
      <c r="D130" s="21"/>
      <c r="E130" s="21"/>
      <c r="F130" s="21"/>
      <c r="G130" s="21"/>
      <c r="H130" s="21"/>
      <c r="I130" s="21"/>
      <c r="J130" s="21"/>
      <c r="K130" s="21"/>
      <c r="L130" s="21"/>
      <c r="M130" s="21"/>
    </row>
    <row r="131" spans="1:13" ht="15" customHeight="1" x14ac:dyDescent="0.25">
      <c r="A131" s="23"/>
      <c r="B131" s="18"/>
      <c r="C131" s="21"/>
      <c r="D131" s="21"/>
      <c r="E131" s="21"/>
      <c r="F131" s="21"/>
      <c r="G131" s="21"/>
      <c r="H131" s="21"/>
      <c r="I131" s="21"/>
      <c r="J131" s="21"/>
      <c r="K131" s="21"/>
      <c r="L131" s="21"/>
      <c r="M131" s="21"/>
    </row>
    <row r="132" spans="1:13" ht="15" customHeight="1" x14ac:dyDescent="0.25">
      <c r="A132" s="23"/>
      <c r="B132" s="18"/>
      <c r="C132" s="21"/>
      <c r="D132" s="21"/>
      <c r="E132" s="21"/>
      <c r="F132" s="21"/>
      <c r="G132" s="21"/>
      <c r="H132" s="21"/>
      <c r="I132" s="21"/>
      <c r="J132" s="21"/>
      <c r="K132" s="21"/>
      <c r="L132" s="21"/>
      <c r="M132" s="21"/>
    </row>
    <row r="133" spans="1:13" ht="15" customHeight="1" x14ac:dyDescent="0.25">
      <c r="A133" s="23"/>
      <c r="B133" s="18"/>
      <c r="C133" s="21"/>
      <c r="D133" s="21"/>
      <c r="E133" s="21"/>
      <c r="F133" s="21"/>
      <c r="G133" s="21"/>
      <c r="H133" s="21"/>
      <c r="I133" s="21"/>
      <c r="J133" s="21"/>
      <c r="K133" s="21"/>
      <c r="L133" s="21"/>
      <c r="M133" s="21"/>
    </row>
    <row r="134" spans="1:13" ht="15" customHeight="1" x14ac:dyDescent="0.25">
      <c r="A134" s="23"/>
      <c r="B134" s="18"/>
      <c r="C134" s="21"/>
      <c r="D134" s="21"/>
      <c r="E134" s="21"/>
      <c r="F134" s="21"/>
      <c r="G134" s="21"/>
      <c r="H134" s="21"/>
      <c r="I134" s="21"/>
      <c r="J134" s="21"/>
      <c r="K134" s="21"/>
      <c r="L134" s="21"/>
      <c r="M134" s="21"/>
    </row>
    <row r="135" spans="1:13" ht="15" customHeight="1" x14ac:dyDescent="0.25">
      <c r="A135" s="23"/>
      <c r="B135" s="18"/>
      <c r="C135" s="21"/>
      <c r="D135" s="21"/>
      <c r="E135" s="21"/>
      <c r="F135" s="21"/>
      <c r="G135" s="21"/>
      <c r="H135" s="21"/>
      <c r="I135" s="21"/>
      <c r="J135" s="21"/>
      <c r="K135" s="21"/>
      <c r="L135" s="21"/>
      <c r="M135" s="21"/>
    </row>
    <row r="136" spans="1:13" ht="15" customHeight="1" x14ac:dyDescent="0.25">
      <c r="A136" s="23"/>
      <c r="B136" s="18"/>
      <c r="C136" s="21"/>
      <c r="D136" s="21"/>
      <c r="E136" s="21"/>
      <c r="F136" s="21"/>
      <c r="G136" s="21"/>
      <c r="H136" s="21"/>
      <c r="I136" s="21"/>
      <c r="J136" s="21"/>
      <c r="K136" s="21"/>
      <c r="L136" s="21"/>
      <c r="M136" s="21"/>
    </row>
    <row r="137" spans="1:13" ht="15" customHeight="1" x14ac:dyDescent="0.25">
      <c r="A137" s="23"/>
      <c r="B137" s="18"/>
      <c r="C137" s="21"/>
      <c r="D137" s="21"/>
      <c r="E137" s="21"/>
      <c r="F137" s="21"/>
      <c r="G137" s="21"/>
      <c r="H137" s="21"/>
      <c r="I137" s="21"/>
      <c r="J137" s="21"/>
      <c r="K137" s="21"/>
      <c r="L137" s="21"/>
      <c r="M137" s="21"/>
    </row>
    <row r="138" spans="1:13" ht="15" customHeight="1" x14ac:dyDescent="0.25">
      <c r="A138" s="23"/>
      <c r="B138" s="18"/>
      <c r="C138" s="21"/>
      <c r="D138" s="21"/>
      <c r="E138" s="21"/>
      <c r="F138" s="21"/>
      <c r="G138" s="21"/>
      <c r="H138" s="21"/>
      <c r="I138" s="21"/>
      <c r="J138" s="21"/>
      <c r="K138" s="21"/>
      <c r="L138" s="21"/>
      <c r="M138" s="21"/>
    </row>
    <row r="139" spans="1:13" ht="15" customHeight="1" x14ac:dyDescent="0.25">
      <c r="A139" s="23"/>
      <c r="B139" s="18"/>
      <c r="C139" s="21"/>
      <c r="D139" s="21"/>
      <c r="E139" s="21"/>
      <c r="F139" s="21"/>
      <c r="G139" s="21"/>
      <c r="H139" s="21"/>
      <c r="I139" s="21"/>
      <c r="J139" s="21"/>
      <c r="K139" s="21"/>
      <c r="L139" s="21"/>
      <c r="M139" s="21"/>
    </row>
    <row r="140" spans="1:13" ht="15" customHeight="1" x14ac:dyDescent="0.25">
      <c r="A140" s="23"/>
      <c r="B140" s="18"/>
      <c r="C140" s="21"/>
      <c r="D140" s="21"/>
      <c r="E140" s="21"/>
      <c r="F140" s="21"/>
      <c r="G140" s="21"/>
      <c r="H140" s="21"/>
      <c r="I140" s="21"/>
      <c r="J140" s="21"/>
      <c r="K140" s="21"/>
      <c r="L140" s="21"/>
      <c r="M140" s="21"/>
    </row>
    <row r="141" spans="1:13" ht="15" customHeight="1" x14ac:dyDescent="0.25">
      <c r="A141" s="23"/>
      <c r="B141" s="18"/>
      <c r="C141" s="21"/>
      <c r="D141" s="21"/>
      <c r="E141" s="21"/>
      <c r="F141" s="21"/>
      <c r="G141" s="21"/>
      <c r="H141" s="21"/>
      <c r="I141" s="21"/>
      <c r="J141" s="21"/>
      <c r="K141" s="21"/>
      <c r="L141" s="21"/>
      <c r="M141" s="21"/>
    </row>
    <row r="142" spans="1:13" ht="15" customHeight="1" x14ac:dyDescent="0.25">
      <c r="A142" s="23"/>
      <c r="B142" s="18"/>
      <c r="C142" s="21"/>
      <c r="D142" s="21"/>
      <c r="E142" s="21"/>
      <c r="F142" s="21"/>
      <c r="G142" s="21"/>
      <c r="H142" s="21"/>
      <c r="I142" s="21"/>
      <c r="J142" s="21"/>
      <c r="K142" s="21"/>
      <c r="L142" s="21"/>
      <c r="M142" s="21"/>
    </row>
    <row r="143" spans="1:13" ht="15" customHeight="1" x14ac:dyDescent="0.25">
      <c r="A143" s="23"/>
      <c r="B143" s="18"/>
      <c r="C143" s="21"/>
      <c r="D143" s="21"/>
      <c r="E143" s="21"/>
      <c r="F143" s="21"/>
      <c r="G143" s="21"/>
      <c r="H143" s="21"/>
      <c r="I143" s="21"/>
      <c r="J143" s="21"/>
      <c r="K143" s="21"/>
      <c r="L143" s="21"/>
      <c r="M143" s="21"/>
    </row>
    <row r="144" spans="1:13" ht="15" customHeight="1" x14ac:dyDescent="0.25">
      <c r="A144" s="23"/>
      <c r="B144" s="18"/>
      <c r="C144" s="21"/>
      <c r="D144" s="21"/>
      <c r="E144" s="21"/>
      <c r="F144" s="21"/>
      <c r="G144" s="21"/>
      <c r="H144" s="21"/>
      <c r="I144" s="21"/>
      <c r="J144" s="21"/>
      <c r="K144" s="21"/>
      <c r="L144" s="21"/>
      <c r="M144" s="21"/>
    </row>
    <row r="145" spans="1:13" ht="15" customHeight="1" x14ac:dyDescent="0.25">
      <c r="A145" s="23"/>
      <c r="B145" s="18"/>
      <c r="C145" s="21"/>
      <c r="D145" s="21"/>
      <c r="E145" s="21"/>
      <c r="F145" s="21"/>
      <c r="G145" s="21"/>
      <c r="H145" s="21"/>
      <c r="I145" s="21"/>
      <c r="J145" s="21"/>
      <c r="K145" s="21"/>
      <c r="L145" s="21"/>
      <c r="M145" s="21"/>
    </row>
    <row r="146" spans="1:13" ht="15" customHeight="1" x14ac:dyDescent="0.25">
      <c r="A146" s="23"/>
      <c r="B146" s="18"/>
      <c r="C146" s="21"/>
      <c r="D146" s="21"/>
      <c r="E146" s="21"/>
      <c r="F146" s="21"/>
      <c r="G146" s="21"/>
      <c r="H146" s="21"/>
      <c r="I146" s="21"/>
      <c r="J146" s="21"/>
      <c r="K146" s="21"/>
      <c r="L146" s="21"/>
      <c r="M146" s="21"/>
    </row>
    <row r="147" spans="1:13" ht="15" customHeight="1" x14ac:dyDescent="0.25">
      <c r="A147" s="23"/>
      <c r="B147" s="18"/>
      <c r="C147" s="21"/>
      <c r="D147" s="21"/>
      <c r="E147" s="21"/>
      <c r="F147" s="21"/>
      <c r="G147" s="21"/>
      <c r="H147" s="21"/>
      <c r="I147" s="21"/>
      <c r="J147" s="21"/>
      <c r="K147" s="21"/>
      <c r="L147" s="21"/>
      <c r="M147" s="21"/>
    </row>
    <row r="148" spans="1:13" ht="15" customHeight="1" x14ac:dyDescent="0.25">
      <c r="A148" s="23"/>
      <c r="B148" s="18"/>
      <c r="C148" s="21"/>
      <c r="D148" s="21"/>
      <c r="E148" s="21"/>
      <c r="F148" s="21"/>
      <c r="G148" s="21"/>
      <c r="H148" s="21"/>
      <c r="I148" s="21"/>
      <c r="J148" s="21"/>
      <c r="K148" s="21"/>
      <c r="L148" s="21"/>
      <c r="M148" s="21"/>
    </row>
    <row r="149" spans="1:13" ht="15" customHeight="1" x14ac:dyDescent="0.25">
      <c r="A149" s="23"/>
      <c r="B149" s="18"/>
      <c r="C149" s="21"/>
      <c r="D149" s="21"/>
      <c r="E149" s="21"/>
      <c r="F149" s="21"/>
      <c r="G149" s="21"/>
      <c r="H149" s="21"/>
      <c r="I149" s="21"/>
      <c r="J149" s="21"/>
      <c r="K149" s="21"/>
      <c r="L149" s="21"/>
      <c r="M149" s="21"/>
    </row>
    <row r="150" spans="1:13" ht="15" customHeight="1" x14ac:dyDescent="0.25">
      <c r="A150" s="23"/>
      <c r="B150" s="18"/>
      <c r="C150" s="21"/>
      <c r="D150" s="21"/>
      <c r="E150" s="21"/>
      <c r="F150" s="21"/>
      <c r="G150" s="21"/>
      <c r="H150" s="21"/>
      <c r="I150" s="21"/>
      <c r="J150" s="21"/>
      <c r="K150" s="21"/>
      <c r="L150" s="21"/>
      <c r="M150" s="21"/>
    </row>
    <row r="151" spans="1:13" ht="15" customHeight="1" x14ac:dyDescent="0.25">
      <c r="A151" s="23"/>
      <c r="B151" s="18"/>
      <c r="C151" s="21"/>
      <c r="D151" s="21"/>
      <c r="E151" s="21"/>
      <c r="F151" s="21"/>
      <c r="G151" s="21"/>
      <c r="H151" s="21"/>
      <c r="I151" s="21"/>
      <c r="J151" s="21"/>
      <c r="K151" s="21"/>
      <c r="L151" s="21"/>
      <c r="M151" s="21"/>
    </row>
    <row r="152" spans="1:13" ht="15" customHeight="1" x14ac:dyDescent="0.25">
      <c r="A152" s="23"/>
      <c r="B152" s="18"/>
      <c r="C152" s="21"/>
      <c r="D152" s="21"/>
      <c r="E152" s="21"/>
      <c r="F152" s="21"/>
      <c r="G152" s="21"/>
      <c r="H152" s="21"/>
      <c r="I152" s="21"/>
      <c r="J152" s="21"/>
      <c r="K152" s="21"/>
      <c r="L152" s="21"/>
      <c r="M152" s="21"/>
    </row>
    <row r="153" spans="1:13" ht="15" customHeight="1" x14ac:dyDescent="0.25">
      <c r="A153" s="23"/>
      <c r="B153" s="18"/>
      <c r="C153" s="21"/>
      <c r="D153" s="21"/>
      <c r="E153" s="21"/>
      <c r="F153" s="21"/>
      <c r="G153" s="21"/>
      <c r="H153" s="21"/>
      <c r="I153" s="21"/>
      <c r="J153" s="21"/>
      <c r="K153" s="21"/>
      <c r="L153" s="21"/>
      <c r="M153" s="21"/>
    </row>
    <row r="154" spans="1:13" ht="15" customHeight="1" x14ac:dyDescent="0.25">
      <c r="A154" s="23"/>
      <c r="B154" s="18"/>
      <c r="C154" s="21"/>
      <c r="D154" s="21"/>
      <c r="E154" s="21"/>
      <c r="F154" s="21"/>
      <c r="G154" s="21"/>
      <c r="H154" s="21"/>
      <c r="I154" s="21"/>
      <c r="J154" s="21"/>
      <c r="K154" s="21"/>
      <c r="L154" s="21"/>
      <c r="M154" s="21"/>
    </row>
    <row r="155" spans="1:13" ht="15" customHeight="1" x14ac:dyDescent="0.25">
      <c r="A155" s="23"/>
      <c r="B155" s="18"/>
      <c r="C155" s="21"/>
      <c r="D155" s="21"/>
      <c r="E155" s="21"/>
      <c r="F155" s="21"/>
      <c r="G155" s="21"/>
      <c r="H155" s="21"/>
      <c r="I155" s="21"/>
      <c r="J155" s="21"/>
      <c r="K155" s="21"/>
      <c r="L155" s="21"/>
      <c r="M155" s="21"/>
    </row>
    <row r="156" spans="1:13" ht="15" customHeight="1" x14ac:dyDescent="0.25">
      <c r="A156" s="23"/>
      <c r="B156" s="18"/>
      <c r="C156" s="21"/>
      <c r="D156" s="21"/>
      <c r="E156" s="21"/>
      <c r="F156" s="21"/>
      <c r="G156" s="21"/>
      <c r="H156" s="21"/>
      <c r="I156" s="21"/>
      <c r="J156" s="21"/>
      <c r="K156" s="21"/>
      <c r="L156" s="21"/>
      <c r="M156" s="21"/>
    </row>
    <row r="157" spans="1:13" ht="15" customHeight="1" x14ac:dyDescent="0.25">
      <c r="A157" s="23"/>
      <c r="B157" s="18"/>
      <c r="C157" s="21"/>
      <c r="D157" s="21"/>
      <c r="E157" s="21"/>
      <c r="F157" s="21"/>
      <c r="G157" s="21"/>
      <c r="H157" s="21"/>
      <c r="I157" s="21"/>
      <c r="J157" s="21"/>
      <c r="K157" s="21"/>
      <c r="L157" s="21"/>
      <c r="M157" s="21"/>
    </row>
    <row r="158" spans="1:13" ht="15" customHeight="1" x14ac:dyDescent="0.25">
      <c r="A158" s="23"/>
      <c r="B158" s="18"/>
      <c r="C158" s="21"/>
      <c r="D158" s="21"/>
      <c r="E158" s="21"/>
      <c r="F158" s="21"/>
      <c r="G158" s="21"/>
      <c r="H158" s="21"/>
      <c r="I158" s="21"/>
      <c r="J158" s="21"/>
      <c r="K158" s="21"/>
      <c r="L158" s="21"/>
      <c r="M158" s="21"/>
    </row>
    <row r="159" spans="1:13" ht="15" customHeight="1" x14ac:dyDescent="0.25">
      <c r="A159" s="23"/>
      <c r="B159" s="18"/>
      <c r="C159" s="21"/>
      <c r="D159" s="21"/>
      <c r="E159" s="21"/>
      <c r="F159" s="21"/>
      <c r="G159" s="21"/>
      <c r="H159" s="21"/>
      <c r="I159" s="21"/>
      <c r="J159" s="21"/>
      <c r="K159" s="21"/>
      <c r="L159" s="21"/>
      <c r="M159" s="21"/>
    </row>
    <row r="160" spans="1:13" ht="15" customHeight="1" x14ac:dyDescent="0.25">
      <c r="A160" s="23"/>
      <c r="B160" s="18"/>
      <c r="C160" s="21"/>
      <c r="D160" s="21"/>
      <c r="E160" s="21"/>
      <c r="F160" s="21"/>
      <c r="G160" s="21"/>
      <c r="H160" s="21"/>
      <c r="I160" s="21"/>
      <c r="J160" s="21"/>
      <c r="K160" s="21"/>
      <c r="L160" s="21"/>
      <c r="M160" s="21"/>
    </row>
    <row r="161" spans="1:13" ht="15" customHeight="1" x14ac:dyDescent="0.25">
      <c r="A161" s="23"/>
      <c r="B161" s="18"/>
      <c r="C161" s="21"/>
      <c r="D161" s="21"/>
      <c r="E161" s="21"/>
      <c r="F161" s="21"/>
      <c r="G161" s="21"/>
      <c r="H161" s="21"/>
      <c r="I161" s="21"/>
      <c r="J161" s="21"/>
      <c r="K161" s="21"/>
      <c r="L161" s="21"/>
      <c r="M161" s="21"/>
    </row>
    <row r="162" spans="1:13" ht="15" customHeight="1" x14ac:dyDescent="0.25">
      <c r="A162" s="23"/>
      <c r="B162" s="18"/>
      <c r="C162" s="21"/>
      <c r="D162" s="21"/>
      <c r="E162" s="21"/>
      <c r="F162" s="21"/>
      <c r="G162" s="21"/>
      <c r="H162" s="21"/>
      <c r="I162" s="21"/>
      <c r="J162" s="21"/>
      <c r="K162" s="21"/>
      <c r="L162" s="21"/>
      <c r="M162" s="21"/>
    </row>
    <row r="163" spans="1:13" ht="15" customHeight="1" x14ac:dyDescent="0.25">
      <c r="A163" s="23"/>
      <c r="B163" s="18"/>
      <c r="C163" s="21"/>
      <c r="D163" s="21"/>
      <c r="E163" s="21"/>
      <c r="F163" s="21"/>
      <c r="G163" s="21"/>
      <c r="H163" s="21"/>
      <c r="I163" s="21"/>
      <c r="J163" s="21"/>
      <c r="K163" s="21"/>
      <c r="L163" s="21"/>
      <c r="M163" s="21"/>
    </row>
    <row r="164" spans="1:13" ht="15" customHeight="1" x14ac:dyDescent="0.25">
      <c r="A164" s="23"/>
      <c r="B164" s="18"/>
      <c r="C164" s="21"/>
      <c r="D164" s="21"/>
      <c r="E164" s="21"/>
      <c r="F164" s="21"/>
      <c r="G164" s="21"/>
      <c r="H164" s="21"/>
      <c r="I164" s="21"/>
      <c r="J164" s="21"/>
      <c r="K164" s="21"/>
      <c r="L164" s="21"/>
      <c r="M164" s="21"/>
    </row>
    <row r="165" spans="1:13" ht="15" customHeight="1" x14ac:dyDescent="0.25">
      <c r="A165" s="23"/>
      <c r="B165" s="18"/>
      <c r="C165" s="21"/>
      <c r="D165" s="21"/>
      <c r="E165" s="21"/>
      <c r="F165" s="21"/>
      <c r="G165" s="21"/>
      <c r="H165" s="21"/>
      <c r="I165" s="21"/>
      <c r="J165" s="21"/>
      <c r="K165" s="21"/>
      <c r="L165" s="21"/>
      <c r="M165" s="21"/>
    </row>
    <row r="166" spans="1:13" ht="15" customHeight="1" x14ac:dyDescent="0.25">
      <c r="A166" s="23"/>
      <c r="B166" s="18"/>
      <c r="C166" s="21"/>
      <c r="D166" s="21"/>
      <c r="E166" s="21"/>
      <c r="F166" s="21"/>
      <c r="G166" s="21"/>
      <c r="H166" s="21"/>
      <c r="I166" s="21"/>
      <c r="J166" s="21"/>
      <c r="K166" s="21"/>
      <c r="L166" s="21"/>
      <c r="M166" s="21"/>
    </row>
    <row r="167" spans="1:13" ht="15" customHeight="1" x14ac:dyDescent="0.25">
      <c r="A167" s="23"/>
      <c r="B167" s="18"/>
      <c r="C167" s="21"/>
      <c r="D167" s="21"/>
      <c r="E167" s="21"/>
      <c r="F167" s="21"/>
      <c r="G167" s="21"/>
      <c r="H167" s="21"/>
      <c r="I167" s="21"/>
      <c r="J167" s="21"/>
      <c r="K167" s="21"/>
      <c r="L167" s="21"/>
      <c r="M167" s="21"/>
    </row>
    <row r="168" spans="1:13" ht="15" customHeight="1" x14ac:dyDescent="0.25">
      <c r="A168" s="23"/>
      <c r="B168" s="18"/>
      <c r="C168" s="21"/>
      <c r="D168" s="21"/>
      <c r="E168" s="21"/>
      <c r="F168" s="21"/>
      <c r="G168" s="21"/>
      <c r="H168" s="21"/>
      <c r="I168" s="21"/>
      <c r="J168" s="21"/>
      <c r="K168" s="21"/>
      <c r="L168" s="21"/>
      <c r="M168" s="21"/>
    </row>
    <row r="169" spans="1:13" ht="15" customHeight="1" x14ac:dyDescent="0.25">
      <c r="A169" s="23"/>
      <c r="B169" s="18"/>
      <c r="C169" s="21"/>
      <c r="D169" s="21"/>
      <c r="E169" s="21"/>
      <c r="F169" s="21"/>
      <c r="G169" s="21"/>
      <c r="H169" s="21"/>
      <c r="I169" s="21"/>
      <c r="J169" s="21"/>
      <c r="K169" s="21"/>
      <c r="L169" s="21"/>
      <c r="M169" s="21"/>
    </row>
    <row r="170" spans="1:13" ht="15" customHeight="1" x14ac:dyDescent="0.25">
      <c r="A170" s="23"/>
      <c r="B170" s="18"/>
      <c r="C170" s="21"/>
      <c r="D170" s="21"/>
      <c r="E170" s="21"/>
      <c r="F170" s="21"/>
      <c r="G170" s="21"/>
      <c r="H170" s="21"/>
      <c r="I170" s="21"/>
      <c r="J170" s="21"/>
      <c r="K170" s="21"/>
      <c r="L170" s="21"/>
      <c r="M170" s="21"/>
    </row>
    <row r="171" spans="1:13" ht="15" customHeight="1" x14ac:dyDescent="0.25">
      <c r="A171" s="23"/>
      <c r="B171" s="18"/>
      <c r="C171" s="21"/>
      <c r="D171" s="21"/>
      <c r="E171" s="21"/>
      <c r="F171" s="21"/>
      <c r="G171" s="21"/>
      <c r="H171" s="21"/>
      <c r="I171" s="21"/>
      <c r="J171" s="21"/>
      <c r="K171" s="21"/>
      <c r="L171" s="21"/>
      <c r="M171" s="21"/>
    </row>
    <row r="172" spans="1:13" ht="15" customHeight="1" x14ac:dyDescent="0.25">
      <c r="A172" s="23"/>
      <c r="B172" s="18"/>
      <c r="C172" s="21"/>
      <c r="D172" s="21"/>
      <c r="E172" s="21"/>
      <c r="F172" s="21"/>
      <c r="G172" s="21"/>
      <c r="H172" s="21"/>
      <c r="I172" s="21"/>
      <c r="J172" s="21"/>
      <c r="K172" s="21"/>
      <c r="L172" s="21"/>
      <c r="M172" s="21"/>
    </row>
    <row r="173" spans="1:13" ht="15" customHeight="1" x14ac:dyDescent="0.25">
      <c r="A173" s="23"/>
      <c r="B173" s="18"/>
      <c r="C173" s="21"/>
      <c r="D173" s="21"/>
      <c r="E173" s="21"/>
      <c r="F173" s="21"/>
      <c r="G173" s="21"/>
      <c r="H173" s="21"/>
      <c r="I173" s="21"/>
      <c r="J173" s="21"/>
      <c r="K173" s="21"/>
      <c r="L173" s="21"/>
      <c r="M173" s="21"/>
    </row>
    <row r="174" spans="1:13" ht="15" customHeight="1" x14ac:dyDescent="0.25">
      <c r="A174" s="23"/>
      <c r="B174" s="18"/>
      <c r="C174" s="21"/>
      <c r="D174" s="21"/>
      <c r="E174" s="21"/>
      <c r="F174" s="21"/>
      <c r="G174" s="21"/>
      <c r="H174" s="21"/>
      <c r="I174" s="21"/>
      <c r="J174" s="21"/>
      <c r="K174" s="21"/>
      <c r="L174" s="21"/>
      <c r="M174" s="21"/>
    </row>
    <row r="175" spans="1:13" ht="15" customHeight="1" x14ac:dyDescent="0.25">
      <c r="A175" s="23"/>
      <c r="B175" s="18"/>
      <c r="C175" s="21"/>
      <c r="D175" s="21"/>
      <c r="E175" s="21"/>
      <c r="F175" s="21"/>
      <c r="G175" s="21"/>
      <c r="H175" s="21"/>
      <c r="I175" s="21"/>
      <c r="J175" s="21"/>
      <c r="K175" s="21"/>
      <c r="L175" s="21"/>
      <c r="M175" s="21"/>
    </row>
    <row r="176" spans="1:13" ht="15" customHeight="1" x14ac:dyDescent="0.25">
      <c r="A176" s="23"/>
      <c r="B176" s="18"/>
      <c r="C176" s="21"/>
      <c r="D176" s="21"/>
      <c r="E176" s="21"/>
      <c r="F176" s="21"/>
      <c r="G176" s="21"/>
      <c r="H176" s="21"/>
      <c r="I176" s="21"/>
      <c r="J176" s="21"/>
      <c r="K176" s="21"/>
      <c r="L176" s="21"/>
      <c r="M176" s="21"/>
    </row>
    <row r="177" spans="1:13" ht="15" customHeight="1" x14ac:dyDescent="0.25">
      <c r="A177" s="23"/>
      <c r="B177" s="18"/>
      <c r="C177" s="21"/>
      <c r="D177" s="21"/>
      <c r="E177" s="21"/>
      <c r="F177" s="21"/>
      <c r="G177" s="21"/>
      <c r="H177" s="21"/>
      <c r="I177" s="21"/>
      <c r="J177" s="21"/>
      <c r="K177" s="21"/>
      <c r="L177" s="21"/>
      <c r="M177" s="21"/>
    </row>
    <row r="178" spans="1:13" ht="15" customHeight="1" x14ac:dyDescent="0.25">
      <c r="A178" s="23"/>
      <c r="B178" s="18"/>
      <c r="C178" s="21"/>
      <c r="D178" s="21"/>
      <c r="E178" s="21"/>
      <c r="F178" s="21"/>
      <c r="G178" s="21"/>
      <c r="H178" s="21"/>
      <c r="I178" s="21"/>
      <c r="J178" s="21"/>
      <c r="K178" s="21"/>
      <c r="L178" s="21"/>
      <c r="M178" s="21"/>
    </row>
    <row r="179" spans="1:13" ht="15" customHeight="1" x14ac:dyDescent="0.25">
      <c r="A179" s="23"/>
      <c r="B179" s="18"/>
      <c r="C179" s="21"/>
      <c r="D179" s="21"/>
      <c r="E179" s="21"/>
      <c r="F179" s="21"/>
      <c r="G179" s="21"/>
      <c r="H179" s="21"/>
      <c r="I179" s="21"/>
      <c r="J179" s="21"/>
      <c r="K179" s="21"/>
      <c r="L179" s="21"/>
      <c r="M179" s="21"/>
    </row>
    <row r="180" spans="1:13" ht="15" customHeight="1" x14ac:dyDescent="0.25">
      <c r="A180" s="23"/>
      <c r="B180" s="18"/>
      <c r="C180" s="21"/>
      <c r="D180" s="21"/>
      <c r="E180" s="21"/>
      <c r="F180" s="21"/>
      <c r="G180" s="21"/>
      <c r="H180" s="21"/>
      <c r="I180" s="21"/>
      <c r="J180" s="21"/>
      <c r="K180" s="21"/>
      <c r="L180" s="21"/>
      <c r="M180" s="21"/>
    </row>
    <row r="181" spans="1:13" ht="15" customHeight="1" x14ac:dyDescent="0.25">
      <c r="A181" s="23"/>
      <c r="B181" s="18"/>
      <c r="C181" s="21"/>
      <c r="D181" s="21"/>
      <c r="E181" s="21"/>
      <c r="F181" s="21"/>
      <c r="G181" s="21"/>
      <c r="H181" s="21"/>
      <c r="I181" s="21"/>
      <c r="J181" s="21"/>
      <c r="K181" s="21"/>
      <c r="L181" s="21"/>
      <c r="M181" s="21"/>
    </row>
    <row r="182" spans="1:13" ht="15" customHeight="1" x14ac:dyDescent="0.25">
      <c r="A182" s="23"/>
      <c r="B182" s="18"/>
      <c r="C182" s="21"/>
      <c r="D182" s="21"/>
      <c r="E182" s="21"/>
      <c r="F182" s="21"/>
      <c r="G182" s="21"/>
      <c r="H182" s="21"/>
      <c r="I182" s="21"/>
      <c r="J182" s="21"/>
      <c r="K182" s="21"/>
      <c r="L182" s="21"/>
      <c r="M182" s="21"/>
    </row>
    <row r="183" spans="1:13" ht="15" customHeight="1" x14ac:dyDescent="0.25">
      <c r="A183" s="23"/>
      <c r="B183" s="18"/>
      <c r="C183" s="21"/>
      <c r="D183" s="21"/>
      <c r="E183" s="21"/>
      <c r="F183" s="21"/>
      <c r="G183" s="21"/>
      <c r="H183" s="21"/>
      <c r="I183" s="21"/>
      <c r="J183" s="21"/>
      <c r="K183" s="21"/>
      <c r="L183" s="21"/>
      <c r="M183" s="21"/>
    </row>
    <row r="184" spans="1:13" ht="15" customHeight="1" x14ac:dyDescent="0.25">
      <c r="A184" s="23"/>
      <c r="B184" s="18"/>
      <c r="C184" s="21"/>
      <c r="D184" s="21"/>
      <c r="E184" s="21"/>
      <c r="F184" s="21"/>
      <c r="G184" s="21"/>
      <c r="H184" s="21"/>
      <c r="I184" s="21"/>
      <c r="J184" s="21"/>
      <c r="K184" s="21"/>
      <c r="L184" s="21"/>
      <c r="M184" s="21"/>
    </row>
    <row r="185" spans="1:13" ht="15" customHeight="1" x14ac:dyDescent="0.25">
      <c r="A185" s="23"/>
      <c r="B185" s="18"/>
      <c r="C185" s="21"/>
      <c r="D185" s="21"/>
      <c r="E185" s="21"/>
      <c r="F185" s="21"/>
      <c r="G185" s="21"/>
      <c r="H185" s="21"/>
      <c r="I185" s="21"/>
      <c r="J185" s="21"/>
      <c r="K185" s="21"/>
      <c r="L185" s="21"/>
      <c r="M185" s="21"/>
    </row>
    <row r="186" spans="1:13" ht="15" customHeight="1" x14ac:dyDescent="0.25">
      <c r="A186" s="23"/>
      <c r="B186" s="18"/>
      <c r="C186" s="21"/>
      <c r="D186" s="21"/>
      <c r="E186" s="21"/>
      <c r="F186" s="21"/>
      <c r="G186" s="21"/>
      <c r="H186" s="21"/>
      <c r="I186" s="21"/>
      <c r="J186" s="21"/>
      <c r="K186" s="21"/>
      <c r="L186" s="21"/>
      <c r="M186" s="21"/>
    </row>
    <row r="187" spans="1:13" ht="15" customHeight="1" x14ac:dyDescent="0.25">
      <c r="A187" s="23"/>
      <c r="B187" s="18"/>
      <c r="C187" s="21"/>
      <c r="D187" s="21"/>
      <c r="E187" s="21"/>
      <c r="F187" s="21"/>
      <c r="G187" s="21"/>
      <c r="H187" s="21"/>
      <c r="I187" s="21"/>
      <c r="J187" s="21"/>
      <c r="K187" s="21"/>
      <c r="L187" s="21"/>
      <c r="M187" s="21"/>
    </row>
    <row r="188" spans="1:13" ht="15" customHeight="1" x14ac:dyDescent="0.25">
      <c r="A188" s="23"/>
      <c r="B188" s="18"/>
      <c r="C188" s="21"/>
      <c r="D188" s="21"/>
      <c r="E188" s="21"/>
      <c r="F188" s="21"/>
      <c r="G188" s="21"/>
      <c r="H188" s="21"/>
      <c r="I188" s="21"/>
      <c r="J188" s="21"/>
      <c r="K188" s="21"/>
      <c r="L188" s="21"/>
      <c r="M188" s="21"/>
    </row>
    <row r="189" spans="1:13" ht="15" customHeight="1" x14ac:dyDescent="0.25">
      <c r="A189" s="23"/>
      <c r="B189" s="18"/>
      <c r="C189" s="21"/>
      <c r="D189" s="21"/>
      <c r="E189" s="21"/>
      <c r="F189" s="21"/>
      <c r="G189" s="21"/>
      <c r="H189" s="21"/>
      <c r="I189" s="21"/>
      <c r="J189" s="21"/>
      <c r="K189" s="21"/>
      <c r="L189" s="21"/>
      <c r="M189" s="21"/>
    </row>
    <row r="190" spans="1:13" ht="15" customHeight="1" x14ac:dyDescent="0.25">
      <c r="A190" s="23"/>
      <c r="B190" s="18"/>
      <c r="C190" s="21"/>
      <c r="D190" s="21"/>
      <c r="E190" s="21"/>
      <c r="F190" s="21"/>
      <c r="G190" s="21"/>
      <c r="H190" s="21"/>
      <c r="I190" s="21"/>
      <c r="J190" s="21"/>
      <c r="K190" s="21"/>
      <c r="L190" s="21"/>
      <c r="M190" s="21"/>
    </row>
    <row r="191" spans="1:13" ht="15" customHeight="1" x14ac:dyDescent="0.25">
      <c r="A191" s="23"/>
      <c r="B191" s="18"/>
      <c r="C191" s="21"/>
      <c r="D191" s="21"/>
      <c r="E191" s="21"/>
      <c r="F191" s="21"/>
      <c r="G191" s="21"/>
      <c r="H191" s="21"/>
      <c r="I191" s="21"/>
      <c r="J191" s="21"/>
      <c r="K191" s="21"/>
      <c r="L191" s="21"/>
      <c r="M191" s="21"/>
    </row>
    <row r="192" spans="1:13" ht="15" customHeight="1" x14ac:dyDescent="0.25">
      <c r="A192" s="23"/>
      <c r="B192" s="18"/>
      <c r="C192" s="21"/>
      <c r="D192" s="21"/>
      <c r="E192" s="21"/>
      <c r="F192" s="21"/>
      <c r="G192" s="21"/>
      <c r="H192" s="21"/>
      <c r="I192" s="21"/>
      <c r="J192" s="21"/>
      <c r="K192" s="21"/>
      <c r="L192" s="21"/>
      <c r="M192" s="21"/>
    </row>
    <row r="193" spans="1:13" ht="15" customHeight="1" x14ac:dyDescent="0.25">
      <c r="A193" s="23"/>
      <c r="B193" s="18"/>
      <c r="C193" s="21"/>
      <c r="D193" s="21"/>
      <c r="E193" s="21"/>
      <c r="F193" s="21"/>
      <c r="G193" s="21"/>
      <c r="H193" s="21"/>
      <c r="I193" s="21"/>
      <c r="J193" s="21"/>
      <c r="K193" s="21"/>
      <c r="L193" s="21"/>
      <c r="M193" s="21"/>
    </row>
    <row r="194" spans="1:13" ht="15" customHeight="1" x14ac:dyDescent="0.25">
      <c r="A194" s="23"/>
      <c r="B194" s="18"/>
      <c r="C194" s="21"/>
      <c r="D194" s="21"/>
      <c r="E194" s="21"/>
      <c r="F194" s="21"/>
      <c r="G194" s="21"/>
      <c r="H194" s="21"/>
      <c r="I194" s="21"/>
      <c r="J194" s="21"/>
      <c r="K194" s="21"/>
      <c r="L194" s="21"/>
      <c r="M194" s="21"/>
    </row>
    <row r="195" spans="1:13" ht="15" customHeight="1" x14ac:dyDescent="0.25">
      <c r="A195" s="23"/>
      <c r="B195" s="18"/>
      <c r="C195" s="21"/>
      <c r="D195" s="21"/>
      <c r="E195" s="21"/>
      <c r="F195" s="21"/>
      <c r="G195" s="21"/>
      <c r="H195" s="21"/>
      <c r="I195" s="21"/>
      <c r="J195" s="21"/>
      <c r="K195" s="21"/>
      <c r="L195" s="21"/>
      <c r="M195" s="21"/>
    </row>
    <row r="196" spans="1:13" ht="15" customHeight="1" x14ac:dyDescent="0.25">
      <c r="A196" s="23"/>
      <c r="B196" s="18"/>
      <c r="C196" s="21"/>
      <c r="D196" s="21"/>
      <c r="E196" s="21"/>
      <c r="F196" s="21"/>
      <c r="G196" s="21"/>
      <c r="H196" s="21"/>
      <c r="I196" s="21"/>
      <c r="J196" s="21"/>
      <c r="K196" s="21"/>
      <c r="L196" s="21"/>
      <c r="M196" s="21"/>
    </row>
    <row r="197" spans="1:13" ht="15" customHeight="1" x14ac:dyDescent="0.25">
      <c r="A197" s="23"/>
      <c r="B197" s="18"/>
      <c r="C197" s="21"/>
      <c r="D197" s="21"/>
      <c r="E197" s="21"/>
      <c r="F197" s="21"/>
      <c r="G197" s="21"/>
      <c r="H197" s="21"/>
      <c r="I197" s="21"/>
      <c r="J197" s="21"/>
      <c r="K197" s="21"/>
      <c r="L197" s="21"/>
      <c r="M197" s="21"/>
    </row>
    <row r="198" spans="1:13" ht="15" customHeight="1" x14ac:dyDescent="0.25">
      <c r="A198" s="23"/>
      <c r="B198" s="18"/>
      <c r="C198" s="21"/>
      <c r="D198" s="21"/>
      <c r="E198" s="21"/>
      <c r="F198" s="21"/>
      <c r="G198" s="21"/>
      <c r="H198" s="21"/>
      <c r="I198" s="21"/>
      <c r="J198" s="21"/>
      <c r="K198" s="21"/>
      <c r="L198" s="21"/>
      <c r="M198" s="21"/>
    </row>
    <row r="199" spans="1:13" ht="15" customHeight="1" x14ac:dyDescent="0.25">
      <c r="A199" s="23"/>
      <c r="B199" s="18"/>
      <c r="C199" s="21"/>
      <c r="D199" s="21"/>
      <c r="E199" s="21"/>
      <c r="F199" s="21"/>
      <c r="G199" s="21"/>
      <c r="H199" s="21"/>
      <c r="I199" s="21"/>
      <c r="J199" s="21"/>
      <c r="K199" s="21"/>
      <c r="L199" s="21"/>
      <c r="M199" s="21"/>
    </row>
    <row r="200" spans="1:13" ht="15" customHeight="1" x14ac:dyDescent="0.25">
      <c r="A200" s="23"/>
      <c r="B200" s="18"/>
      <c r="C200" s="21"/>
      <c r="D200" s="21"/>
      <c r="E200" s="21"/>
      <c r="F200" s="21"/>
      <c r="G200" s="21"/>
      <c r="H200" s="21"/>
      <c r="I200" s="21"/>
      <c r="J200" s="21"/>
      <c r="K200" s="21"/>
      <c r="L200" s="21"/>
      <c r="M200" s="21"/>
    </row>
    <row r="201" spans="1:13" ht="15" customHeight="1" x14ac:dyDescent="0.25">
      <c r="A201" s="23"/>
      <c r="B201" s="18"/>
      <c r="C201" s="21"/>
      <c r="D201" s="21"/>
      <c r="E201" s="21"/>
      <c r="F201" s="21"/>
      <c r="G201" s="21"/>
      <c r="H201" s="21"/>
      <c r="I201" s="21"/>
      <c r="J201" s="21"/>
      <c r="K201" s="21"/>
      <c r="L201" s="21"/>
      <c r="M201" s="21"/>
    </row>
    <row r="202" spans="1:13" ht="15" customHeight="1" x14ac:dyDescent="0.25">
      <c r="A202" s="23"/>
      <c r="B202" s="18"/>
      <c r="C202" s="21"/>
      <c r="D202" s="21"/>
      <c r="E202" s="21"/>
      <c r="F202" s="21"/>
      <c r="G202" s="21"/>
      <c r="H202" s="21"/>
      <c r="I202" s="21"/>
      <c r="J202" s="21"/>
      <c r="K202" s="21"/>
      <c r="L202" s="21"/>
      <c r="M202" s="21"/>
    </row>
    <row r="203" spans="1:13" ht="15" customHeight="1" x14ac:dyDescent="0.25">
      <c r="A203" s="23"/>
      <c r="B203" s="18"/>
      <c r="C203" s="21"/>
      <c r="D203" s="21"/>
      <c r="E203" s="21"/>
      <c r="F203" s="21"/>
      <c r="G203" s="21"/>
      <c r="H203" s="21"/>
      <c r="I203" s="21"/>
      <c r="J203" s="21"/>
      <c r="K203" s="21"/>
      <c r="L203" s="21"/>
      <c r="M203" s="21"/>
    </row>
    <row r="204" spans="1:13" ht="15" customHeight="1" x14ac:dyDescent="0.25">
      <c r="A204" s="23"/>
      <c r="B204" s="18"/>
      <c r="C204" s="21"/>
      <c r="D204" s="21"/>
      <c r="E204" s="21"/>
      <c r="F204" s="21"/>
      <c r="G204" s="21"/>
      <c r="H204" s="21"/>
      <c r="I204" s="21"/>
      <c r="J204" s="21"/>
      <c r="K204" s="21"/>
      <c r="L204" s="21"/>
      <c r="M204" s="21"/>
    </row>
    <row r="205" spans="1:13" ht="15" customHeight="1" x14ac:dyDescent="0.25">
      <c r="A205" s="23"/>
      <c r="B205" s="18"/>
      <c r="C205" s="21"/>
      <c r="D205" s="21"/>
      <c r="E205" s="21"/>
      <c r="F205" s="21"/>
      <c r="G205" s="21"/>
      <c r="H205" s="21"/>
      <c r="I205" s="21"/>
      <c r="J205" s="21"/>
      <c r="K205" s="21"/>
      <c r="L205" s="21"/>
      <c r="M205" s="21"/>
    </row>
    <row r="206" spans="1:13" ht="15" customHeight="1" x14ac:dyDescent="0.25">
      <c r="A206" s="23"/>
      <c r="B206" s="18"/>
      <c r="C206" s="21"/>
      <c r="D206" s="21"/>
      <c r="E206" s="21"/>
      <c r="F206" s="21"/>
      <c r="G206" s="21"/>
      <c r="H206" s="21"/>
      <c r="I206" s="21"/>
      <c r="J206" s="21"/>
      <c r="K206" s="21"/>
      <c r="L206" s="21"/>
      <c r="M206" s="21"/>
    </row>
    <row r="207" spans="1:13" ht="15" customHeight="1" x14ac:dyDescent="0.25">
      <c r="A207" s="23"/>
      <c r="B207" s="18"/>
      <c r="C207" s="21"/>
      <c r="D207" s="21"/>
      <c r="E207" s="21"/>
      <c r="F207" s="21"/>
      <c r="G207" s="21"/>
      <c r="H207" s="21"/>
      <c r="I207" s="21"/>
      <c r="J207" s="21"/>
      <c r="K207" s="21"/>
      <c r="L207" s="21"/>
      <c r="M207" s="21"/>
    </row>
    <row r="208" spans="1:13" ht="15" customHeight="1" x14ac:dyDescent="0.25">
      <c r="A208" s="23"/>
      <c r="B208" s="18"/>
      <c r="C208" s="21"/>
      <c r="D208" s="21"/>
      <c r="E208" s="21"/>
      <c r="F208" s="21"/>
      <c r="G208" s="21"/>
      <c r="H208" s="21"/>
      <c r="I208" s="21"/>
      <c r="J208" s="21"/>
      <c r="K208" s="21"/>
      <c r="L208" s="21"/>
      <c r="M208" s="21"/>
    </row>
    <row r="209" spans="1:13" ht="15" customHeight="1" x14ac:dyDescent="0.25">
      <c r="A209" s="23"/>
      <c r="B209" s="18"/>
      <c r="C209" s="21"/>
      <c r="D209" s="21"/>
      <c r="E209" s="21"/>
      <c r="F209" s="21"/>
      <c r="G209" s="21"/>
      <c r="H209" s="21"/>
      <c r="I209" s="21"/>
      <c r="J209" s="21"/>
      <c r="K209" s="21"/>
      <c r="L209" s="21"/>
      <c r="M209" s="21"/>
    </row>
    <row r="210" spans="1:13" ht="15" customHeight="1" x14ac:dyDescent="0.25">
      <c r="A210" s="23"/>
      <c r="B210" s="18"/>
      <c r="C210" s="21"/>
      <c r="D210" s="21"/>
      <c r="E210" s="21"/>
      <c r="F210" s="21"/>
      <c r="G210" s="21"/>
      <c r="H210" s="21"/>
      <c r="I210" s="21"/>
      <c r="J210" s="21"/>
      <c r="K210" s="21"/>
      <c r="L210" s="21"/>
      <c r="M210" s="21"/>
    </row>
    <row r="211" spans="1:13" ht="15" customHeight="1" x14ac:dyDescent="0.25">
      <c r="A211" s="23"/>
      <c r="B211" s="18"/>
      <c r="C211" s="21"/>
      <c r="D211" s="21"/>
      <c r="E211" s="21"/>
      <c r="F211" s="21"/>
      <c r="G211" s="21"/>
      <c r="H211" s="21"/>
      <c r="I211" s="21"/>
      <c r="J211" s="21"/>
      <c r="K211" s="21"/>
      <c r="L211" s="21"/>
      <c r="M211" s="21"/>
    </row>
    <row r="212" spans="1:13" ht="15" customHeight="1" x14ac:dyDescent="0.25">
      <c r="A212" s="23"/>
      <c r="B212" s="18"/>
      <c r="C212" s="21"/>
      <c r="D212" s="21"/>
      <c r="E212" s="21"/>
      <c r="F212" s="21"/>
      <c r="G212" s="21"/>
      <c r="H212" s="21"/>
      <c r="I212" s="21"/>
      <c r="J212" s="21"/>
      <c r="K212" s="21"/>
      <c r="L212" s="21"/>
      <c r="M212" s="21"/>
    </row>
    <row r="213" spans="1:13" ht="15" customHeight="1" x14ac:dyDescent="0.25">
      <c r="A213" s="23"/>
      <c r="B213" s="18"/>
      <c r="C213" s="21"/>
      <c r="D213" s="21"/>
      <c r="E213" s="21"/>
      <c r="F213" s="21"/>
      <c r="G213" s="21"/>
      <c r="H213" s="21"/>
      <c r="I213" s="21"/>
      <c r="J213" s="21"/>
      <c r="K213" s="21"/>
      <c r="L213" s="21"/>
      <c r="M213" s="21"/>
    </row>
    <row r="214" spans="1:13" ht="15" customHeight="1" x14ac:dyDescent="0.25">
      <c r="A214" s="23"/>
      <c r="B214" s="18"/>
      <c r="C214" s="21"/>
      <c r="D214" s="21"/>
      <c r="E214" s="21"/>
      <c r="F214" s="21"/>
      <c r="G214" s="21"/>
      <c r="H214" s="21"/>
      <c r="I214" s="21"/>
      <c r="J214" s="21"/>
      <c r="K214" s="21"/>
      <c r="L214" s="21"/>
      <c r="M214" s="21"/>
    </row>
    <row r="215" spans="1:13" ht="15" customHeight="1" x14ac:dyDescent="0.25">
      <c r="A215" s="23"/>
      <c r="B215" s="18"/>
      <c r="C215" s="21"/>
      <c r="D215" s="21"/>
      <c r="E215" s="21"/>
      <c r="F215" s="21"/>
      <c r="G215" s="21"/>
      <c r="H215" s="21"/>
      <c r="I215" s="21"/>
      <c r="J215" s="21"/>
      <c r="K215" s="21"/>
      <c r="L215" s="21"/>
      <c r="M215" s="21"/>
    </row>
    <row r="216" spans="1:13" ht="15" customHeight="1" x14ac:dyDescent="0.25">
      <c r="A216" s="23"/>
      <c r="B216" s="18"/>
      <c r="C216" s="21"/>
      <c r="D216" s="21"/>
      <c r="E216" s="21"/>
      <c r="F216" s="21"/>
      <c r="G216" s="21"/>
      <c r="H216" s="21"/>
      <c r="I216" s="21"/>
      <c r="J216" s="21"/>
      <c r="K216" s="21"/>
      <c r="L216" s="21"/>
      <c r="M216" s="21"/>
    </row>
    <row r="217" spans="1:13" ht="15" customHeight="1" x14ac:dyDescent="0.25">
      <c r="A217" s="23"/>
      <c r="B217" s="18"/>
      <c r="C217" s="21"/>
      <c r="D217" s="21"/>
      <c r="E217" s="21"/>
      <c r="F217" s="21"/>
      <c r="G217" s="21"/>
      <c r="H217" s="21"/>
      <c r="I217" s="21"/>
      <c r="J217" s="21"/>
      <c r="K217" s="21"/>
      <c r="L217" s="21"/>
      <c r="M217" s="21"/>
    </row>
    <row r="218" spans="1:13" ht="15" customHeight="1" x14ac:dyDescent="0.25">
      <c r="A218" s="23"/>
      <c r="B218" s="18"/>
      <c r="C218" s="21"/>
      <c r="D218" s="21"/>
      <c r="E218" s="21"/>
      <c r="F218" s="21"/>
      <c r="G218" s="21"/>
      <c r="H218" s="21"/>
      <c r="I218" s="21"/>
      <c r="J218" s="21"/>
      <c r="K218" s="21"/>
      <c r="L218" s="21"/>
      <c r="M218" s="21"/>
    </row>
    <row r="219" spans="1:13" ht="15" customHeight="1" x14ac:dyDescent="0.25">
      <c r="A219" s="23"/>
      <c r="B219" s="18"/>
      <c r="C219" s="21"/>
      <c r="D219" s="21"/>
      <c r="E219" s="21"/>
      <c r="F219" s="21"/>
      <c r="G219" s="21"/>
      <c r="H219" s="21"/>
      <c r="I219" s="21"/>
      <c r="J219" s="21"/>
      <c r="K219" s="21"/>
      <c r="L219" s="21"/>
      <c r="M219" s="21"/>
    </row>
    <row r="220" spans="1:13" ht="15" customHeight="1" x14ac:dyDescent="0.25">
      <c r="A220" s="23"/>
      <c r="B220" s="18"/>
      <c r="C220" s="21"/>
      <c r="D220" s="21"/>
      <c r="E220" s="21"/>
      <c r="F220" s="21"/>
      <c r="G220" s="21"/>
      <c r="H220" s="21"/>
      <c r="I220" s="21"/>
      <c r="J220" s="21"/>
      <c r="K220" s="21"/>
      <c r="L220" s="21"/>
      <c r="M220" s="21"/>
    </row>
    <row r="221" spans="1:13" ht="15" customHeight="1" x14ac:dyDescent="0.25">
      <c r="A221" s="23"/>
      <c r="B221" s="18"/>
      <c r="C221" s="21"/>
      <c r="D221" s="21"/>
      <c r="E221" s="21"/>
      <c r="F221" s="21"/>
      <c r="G221" s="21"/>
      <c r="H221" s="21"/>
      <c r="I221" s="21"/>
      <c r="J221" s="21"/>
      <c r="K221" s="21"/>
      <c r="L221" s="21"/>
      <c r="M221" s="21"/>
    </row>
    <row r="222" spans="1:13" ht="15" customHeight="1" x14ac:dyDescent="0.25">
      <c r="A222" s="23"/>
      <c r="B222" s="18"/>
      <c r="C222" s="21"/>
      <c r="D222" s="21"/>
      <c r="E222" s="21"/>
      <c r="F222" s="21"/>
      <c r="G222" s="21"/>
      <c r="H222" s="21"/>
      <c r="I222" s="21"/>
      <c r="J222" s="21"/>
      <c r="K222" s="21"/>
      <c r="L222" s="21"/>
      <c r="M222" s="21"/>
    </row>
    <row r="223" spans="1:13" ht="15" customHeight="1" x14ac:dyDescent="0.25">
      <c r="A223" s="23"/>
      <c r="B223" s="18"/>
      <c r="C223" s="21"/>
      <c r="D223" s="21"/>
      <c r="E223" s="21"/>
      <c r="F223" s="21"/>
      <c r="G223" s="21"/>
      <c r="H223" s="21"/>
      <c r="I223" s="21"/>
      <c r="J223" s="21"/>
      <c r="K223" s="21"/>
      <c r="L223" s="21"/>
      <c r="M223" s="21"/>
    </row>
    <row r="224" spans="1:13" ht="15" customHeight="1" x14ac:dyDescent="0.25">
      <c r="A224" s="23"/>
      <c r="B224" s="18"/>
      <c r="C224" s="21"/>
      <c r="D224" s="21"/>
      <c r="E224" s="21"/>
      <c r="F224" s="21"/>
      <c r="G224" s="21"/>
      <c r="H224" s="21"/>
      <c r="I224" s="21"/>
      <c r="J224" s="21"/>
      <c r="K224" s="21"/>
      <c r="L224" s="21"/>
      <c r="M224" s="21"/>
    </row>
    <row r="225" spans="1:13" ht="15" customHeight="1" x14ac:dyDescent="0.25">
      <c r="A225" s="23"/>
      <c r="B225" s="18"/>
      <c r="C225" s="21"/>
      <c r="D225" s="21"/>
      <c r="E225" s="21"/>
      <c r="F225" s="21"/>
      <c r="G225" s="21"/>
      <c r="H225" s="21"/>
      <c r="I225" s="21"/>
      <c r="J225" s="21"/>
      <c r="K225" s="21"/>
      <c r="L225" s="21"/>
      <c r="M225" s="21"/>
    </row>
    <row r="226" spans="1:13" ht="15" customHeight="1" x14ac:dyDescent="0.25">
      <c r="A226" s="23"/>
      <c r="B226" s="18"/>
      <c r="C226" s="21"/>
      <c r="D226" s="21"/>
      <c r="E226" s="21"/>
      <c r="F226" s="21"/>
      <c r="G226" s="21"/>
      <c r="H226" s="21"/>
      <c r="I226" s="21"/>
      <c r="J226" s="21"/>
      <c r="K226" s="21"/>
      <c r="L226" s="21"/>
      <c r="M226" s="21"/>
    </row>
    <row r="227" spans="1:13" ht="15" customHeight="1" x14ac:dyDescent="0.25">
      <c r="A227" s="23"/>
      <c r="B227" s="18"/>
      <c r="C227" s="21"/>
      <c r="D227" s="21"/>
      <c r="E227" s="21"/>
      <c r="F227" s="21"/>
      <c r="G227" s="21"/>
      <c r="H227" s="21"/>
      <c r="I227" s="21"/>
      <c r="J227" s="21"/>
      <c r="K227" s="21"/>
      <c r="L227" s="21"/>
      <c r="M227" s="21"/>
    </row>
    <row r="228" spans="1:13" ht="15" customHeight="1" x14ac:dyDescent="0.25">
      <c r="A228" s="23"/>
      <c r="B228" s="18"/>
      <c r="C228" s="21"/>
      <c r="D228" s="21"/>
      <c r="E228" s="21"/>
      <c r="F228" s="21"/>
      <c r="G228" s="21"/>
      <c r="H228" s="21"/>
      <c r="I228" s="21"/>
      <c r="J228" s="21"/>
      <c r="K228" s="21"/>
      <c r="L228" s="21"/>
      <c r="M228" s="21"/>
    </row>
    <row r="229" spans="1:13" ht="15" customHeight="1" x14ac:dyDescent="0.25">
      <c r="A229" s="23"/>
      <c r="B229" s="18"/>
      <c r="C229" s="21"/>
      <c r="D229" s="21"/>
      <c r="E229" s="21"/>
      <c r="F229" s="21"/>
      <c r="G229" s="21"/>
      <c r="H229" s="21"/>
      <c r="I229" s="21"/>
      <c r="J229" s="21"/>
      <c r="K229" s="21"/>
      <c r="L229" s="21"/>
      <c r="M229" s="21"/>
    </row>
    <row r="230" spans="1:13" ht="15" customHeight="1" x14ac:dyDescent="0.25">
      <c r="A230" s="23"/>
      <c r="B230" s="18"/>
      <c r="C230" s="21"/>
      <c r="D230" s="21"/>
      <c r="E230" s="21"/>
      <c r="F230" s="21"/>
      <c r="G230" s="21"/>
      <c r="H230" s="21"/>
      <c r="I230" s="21"/>
      <c r="J230" s="21"/>
      <c r="K230" s="21"/>
      <c r="L230" s="21"/>
      <c r="M230" s="21"/>
    </row>
    <row r="231" spans="1:13" ht="15" customHeight="1" x14ac:dyDescent="0.25">
      <c r="A231" s="23"/>
      <c r="B231" s="18"/>
      <c r="C231" s="21"/>
      <c r="D231" s="21"/>
      <c r="E231" s="21"/>
      <c r="F231" s="21"/>
      <c r="G231" s="21"/>
      <c r="H231" s="21"/>
      <c r="I231" s="21"/>
      <c r="J231" s="21"/>
      <c r="K231" s="21"/>
      <c r="L231" s="21"/>
      <c r="M231" s="21"/>
    </row>
    <row r="232" spans="1:13" ht="15" customHeight="1" x14ac:dyDescent="0.25">
      <c r="A232" s="23"/>
      <c r="B232" s="18"/>
      <c r="C232" s="21"/>
      <c r="D232" s="21"/>
      <c r="E232" s="21"/>
      <c r="F232" s="21"/>
      <c r="G232" s="21"/>
      <c r="H232" s="21"/>
      <c r="I232" s="21"/>
      <c r="J232" s="21"/>
      <c r="K232" s="21"/>
      <c r="L232" s="21"/>
      <c r="M232" s="21"/>
    </row>
    <row r="233" spans="1:13" ht="15" customHeight="1" x14ac:dyDescent="0.25">
      <c r="A233" s="23"/>
      <c r="B233" s="18"/>
      <c r="C233" s="21"/>
      <c r="D233" s="21"/>
      <c r="E233" s="21"/>
      <c r="F233" s="21"/>
      <c r="G233" s="21"/>
      <c r="H233" s="21"/>
      <c r="I233" s="21"/>
      <c r="J233" s="21"/>
      <c r="K233" s="21"/>
      <c r="L233" s="21"/>
      <c r="M233" s="21"/>
    </row>
    <row r="234" spans="1:13" ht="15" customHeight="1" x14ac:dyDescent="0.25">
      <c r="A234" s="23"/>
      <c r="B234" s="18"/>
      <c r="C234" s="21"/>
      <c r="D234" s="21"/>
      <c r="E234" s="21"/>
      <c r="F234" s="21"/>
      <c r="G234" s="21"/>
      <c r="H234" s="21"/>
      <c r="I234" s="21"/>
      <c r="J234" s="21"/>
      <c r="K234" s="21"/>
      <c r="L234" s="21"/>
      <c r="M234" s="21"/>
    </row>
    <row r="235" spans="1:13" ht="15" customHeight="1" x14ac:dyDescent="0.25">
      <c r="A235" s="23"/>
      <c r="B235" s="18"/>
      <c r="C235" s="21"/>
      <c r="D235" s="21"/>
      <c r="E235" s="21"/>
      <c r="F235" s="21"/>
      <c r="G235" s="21"/>
      <c r="H235" s="21"/>
      <c r="I235" s="21"/>
      <c r="J235" s="21"/>
      <c r="K235" s="21"/>
      <c r="L235" s="21"/>
      <c r="M235" s="21"/>
    </row>
    <row r="236" spans="1:13" ht="15" customHeight="1" x14ac:dyDescent="0.25">
      <c r="A236" s="23"/>
      <c r="B236" s="18"/>
      <c r="C236" s="21"/>
      <c r="D236" s="21"/>
      <c r="E236" s="21"/>
      <c r="F236" s="21"/>
      <c r="G236" s="21"/>
      <c r="H236" s="21"/>
      <c r="I236" s="21"/>
      <c r="J236" s="21"/>
      <c r="K236" s="21"/>
      <c r="L236" s="21"/>
      <c r="M236" s="21"/>
    </row>
    <row r="237" spans="1:13" ht="15" customHeight="1" x14ac:dyDescent="0.25">
      <c r="A237" s="23"/>
      <c r="B237" s="18"/>
      <c r="C237" s="21"/>
      <c r="D237" s="21"/>
      <c r="E237" s="21"/>
      <c r="F237" s="21"/>
      <c r="G237" s="21"/>
      <c r="H237" s="21"/>
      <c r="I237" s="21"/>
      <c r="J237" s="21"/>
      <c r="K237" s="21"/>
      <c r="L237" s="21"/>
      <c r="M237" s="21"/>
    </row>
    <row r="238" spans="1:13" ht="15" customHeight="1" x14ac:dyDescent="0.25">
      <c r="A238" s="23"/>
      <c r="B238" s="18"/>
      <c r="C238" s="21"/>
      <c r="D238" s="21"/>
      <c r="E238" s="21"/>
      <c r="F238" s="21"/>
      <c r="G238" s="21"/>
      <c r="H238" s="21"/>
      <c r="I238" s="21"/>
      <c r="J238" s="21"/>
      <c r="K238" s="21"/>
      <c r="L238" s="21"/>
      <c r="M238" s="21"/>
    </row>
    <row r="239" spans="1:13" ht="15" customHeight="1" x14ac:dyDescent="0.25">
      <c r="A239" s="23"/>
      <c r="B239" s="18"/>
      <c r="C239" s="21"/>
      <c r="D239" s="21"/>
      <c r="E239" s="21"/>
      <c r="F239" s="21"/>
      <c r="G239" s="21"/>
      <c r="H239" s="21"/>
      <c r="I239" s="21"/>
      <c r="J239" s="21"/>
      <c r="K239" s="21"/>
      <c r="L239" s="21"/>
      <c r="M239" s="21"/>
    </row>
    <row r="240" spans="1:13" ht="15" customHeight="1" x14ac:dyDescent="0.25">
      <c r="A240" s="23"/>
      <c r="B240" s="18"/>
      <c r="C240" s="21"/>
      <c r="D240" s="21"/>
      <c r="E240" s="21"/>
      <c r="F240" s="21"/>
      <c r="G240" s="21"/>
      <c r="H240" s="21"/>
      <c r="I240" s="21"/>
      <c r="J240" s="21"/>
      <c r="K240" s="21"/>
      <c r="L240" s="21"/>
      <c r="M240" s="21"/>
    </row>
    <row r="241" spans="1:13" ht="15" customHeight="1" x14ac:dyDescent="0.25">
      <c r="A241" s="23"/>
      <c r="B241" s="18"/>
      <c r="C241" s="21"/>
      <c r="D241" s="21"/>
      <c r="E241" s="21"/>
      <c r="F241" s="21"/>
      <c r="G241" s="21"/>
      <c r="H241" s="21"/>
      <c r="I241" s="21"/>
      <c r="J241" s="21"/>
      <c r="K241" s="21"/>
      <c r="L241" s="21"/>
      <c r="M241" s="21"/>
    </row>
    <row r="242" spans="1:13" ht="15" customHeight="1" x14ac:dyDescent="0.25">
      <c r="A242" s="23"/>
      <c r="B242" s="18"/>
      <c r="C242" s="21"/>
      <c r="D242" s="21"/>
      <c r="E242" s="21"/>
      <c r="F242" s="21"/>
      <c r="G242" s="21"/>
      <c r="H242" s="21"/>
      <c r="I242" s="21"/>
      <c r="J242" s="21"/>
      <c r="K242" s="21"/>
      <c r="L242" s="21"/>
      <c r="M242" s="21"/>
    </row>
    <row r="243" spans="1:13" ht="15" customHeight="1" x14ac:dyDescent="0.25">
      <c r="A243" s="23"/>
      <c r="B243" s="18"/>
      <c r="C243" s="21"/>
      <c r="D243" s="21"/>
      <c r="E243" s="21"/>
      <c r="F243" s="21"/>
      <c r="G243" s="21"/>
      <c r="H243" s="21"/>
      <c r="I243" s="21"/>
      <c r="J243" s="21"/>
      <c r="K243" s="21"/>
      <c r="L243" s="21"/>
      <c r="M243" s="21"/>
    </row>
    <row r="244" spans="1:13" ht="15" customHeight="1" x14ac:dyDescent="0.25">
      <c r="A244" s="23"/>
      <c r="B244" s="18"/>
      <c r="C244" s="21"/>
      <c r="D244" s="21"/>
      <c r="E244" s="21"/>
      <c r="F244" s="21"/>
      <c r="G244" s="21"/>
      <c r="H244" s="21"/>
      <c r="I244" s="21"/>
      <c r="J244" s="21"/>
      <c r="K244" s="21"/>
      <c r="L244" s="21"/>
      <c r="M244" s="21"/>
    </row>
    <row r="245" spans="1:13" ht="15" customHeight="1" x14ac:dyDescent="0.25">
      <c r="A245" s="23"/>
      <c r="B245" s="18"/>
      <c r="C245" s="21"/>
      <c r="D245" s="21"/>
      <c r="E245" s="21"/>
      <c r="F245" s="21"/>
      <c r="G245" s="21"/>
      <c r="H245" s="21"/>
      <c r="I245" s="21"/>
      <c r="J245" s="21"/>
      <c r="K245" s="21"/>
      <c r="L245" s="21"/>
      <c r="M245" s="21"/>
    </row>
    <row r="246" spans="1:13" ht="15" customHeight="1" x14ac:dyDescent="0.25">
      <c r="A246" s="23"/>
      <c r="B246" s="18"/>
      <c r="C246" s="21"/>
      <c r="D246" s="21"/>
      <c r="E246" s="21"/>
      <c r="F246" s="21"/>
      <c r="G246" s="21"/>
      <c r="H246" s="21"/>
      <c r="I246" s="21"/>
      <c r="J246" s="21"/>
      <c r="K246" s="21"/>
      <c r="L246" s="21"/>
      <c r="M246" s="21"/>
    </row>
    <row r="247" spans="1:13" ht="15" customHeight="1" x14ac:dyDescent="0.25">
      <c r="A247" s="23"/>
      <c r="B247" s="18"/>
      <c r="C247" s="21"/>
      <c r="D247" s="21"/>
      <c r="E247" s="21"/>
      <c r="F247" s="21"/>
      <c r="G247" s="21"/>
      <c r="H247" s="21"/>
      <c r="I247" s="21"/>
      <c r="J247" s="21"/>
      <c r="K247" s="21"/>
      <c r="L247" s="21"/>
      <c r="M247" s="21"/>
    </row>
    <row r="248" spans="1:13" ht="15" customHeight="1" x14ac:dyDescent="0.25">
      <c r="A248" s="23"/>
      <c r="B248" s="18"/>
      <c r="C248" s="21"/>
      <c r="D248" s="21"/>
      <c r="E248" s="21"/>
      <c r="F248" s="21"/>
      <c r="G248" s="21"/>
      <c r="H248" s="21"/>
      <c r="I248" s="21"/>
      <c r="J248" s="21"/>
      <c r="K248" s="21"/>
      <c r="L248" s="21"/>
      <c r="M248" s="21"/>
    </row>
    <row r="249" spans="1:13" ht="15" customHeight="1" x14ac:dyDescent="0.25">
      <c r="A249" s="23"/>
      <c r="B249" s="18"/>
      <c r="C249" s="21"/>
      <c r="D249" s="21"/>
      <c r="E249" s="21"/>
      <c r="F249" s="21"/>
      <c r="G249" s="21"/>
      <c r="H249" s="21"/>
      <c r="I249" s="21"/>
      <c r="J249" s="21"/>
      <c r="K249" s="21"/>
      <c r="L249" s="21"/>
      <c r="M249" s="21"/>
    </row>
    <row r="250" spans="1:13" ht="15" customHeight="1" x14ac:dyDescent="0.25">
      <c r="A250" s="23"/>
      <c r="B250" s="18"/>
      <c r="C250" s="21"/>
      <c r="D250" s="21"/>
      <c r="E250" s="21"/>
      <c r="F250" s="21"/>
      <c r="G250" s="21"/>
      <c r="H250" s="21"/>
      <c r="I250" s="21"/>
      <c r="J250" s="21"/>
      <c r="K250" s="21"/>
      <c r="L250" s="21"/>
      <c r="M250" s="21"/>
    </row>
    <row r="251" spans="1:13" ht="15" customHeight="1" x14ac:dyDescent="0.25">
      <c r="A251" s="23"/>
      <c r="B251" s="18"/>
      <c r="C251" s="21"/>
      <c r="D251" s="21"/>
      <c r="E251" s="21"/>
      <c r="F251" s="21"/>
      <c r="G251" s="21"/>
      <c r="H251" s="21"/>
      <c r="I251" s="21"/>
      <c r="J251" s="21"/>
      <c r="K251" s="21"/>
      <c r="L251" s="21"/>
      <c r="M251" s="21"/>
    </row>
    <row r="252" spans="1:13" ht="15" customHeight="1" x14ac:dyDescent="0.25">
      <c r="A252" s="23"/>
      <c r="B252" s="18"/>
      <c r="C252" s="21"/>
      <c r="D252" s="21"/>
      <c r="E252" s="21"/>
      <c r="F252" s="21"/>
      <c r="G252" s="21"/>
      <c r="H252" s="21"/>
      <c r="I252" s="21"/>
      <c r="J252" s="21"/>
      <c r="K252" s="21"/>
      <c r="L252" s="21"/>
      <c r="M252" s="21"/>
    </row>
    <row r="253" spans="1:13" ht="15" customHeight="1" x14ac:dyDescent="0.25">
      <c r="A253" s="23"/>
      <c r="B253" s="18"/>
      <c r="C253" s="21"/>
      <c r="D253" s="21"/>
      <c r="E253" s="21"/>
      <c r="F253" s="21"/>
      <c r="G253" s="21"/>
      <c r="H253" s="21"/>
      <c r="I253" s="21"/>
      <c r="J253" s="21"/>
      <c r="K253" s="21"/>
      <c r="L253" s="21"/>
      <c r="M253" s="21"/>
    </row>
    <row r="254" spans="1:13" ht="15" customHeight="1" x14ac:dyDescent="0.25">
      <c r="A254" s="23"/>
      <c r="B254" s="18"/>
      <c r="C254" s="21"/>
      <c r="D254" s="21"/>
      <c r="E254" s="21"/>
      <c r="F254" s="21"/>
      <c r="G254" s="21"/>
      <c r="H254" s="21"/>
      <c r="I254" s="21"/>
      <c r="J254" s="21"/>
      <c r="K254" s="21"/>
      <c r="L254" s="21"/>
      <c r="M254" s="21"/>
    </row>
    <row r="255" spans="1:13" ht="15" customHeight="1" x14ac:dyDescent="0.25">
      <c r="A255" s="23"/>
      <c r="B255" s="18"/>
      <c r="C255" s="21"/>
      <c r="D255" s="21"/>
      <c r="E255" s="21"/>
      <c r="F255" s="21"/>
      <c r="G255" s="21"/>
      <c r="H255" s="21"/>
      <c r="I255" s="21"/>
      <c r="J255" s="21"/>
      <c r="K255" s="21"/>
      <c r="L255" s="21"/>
      <c r="M255" s="21"/>
    </row>
    <row r="256" spans="1:13" ht="15" customHeight="1" x14ac:dyDescent="0.25">
      <c r="A256" s="23"/>
      <c r="B256" s="18"/>
      <c r="C256" s="21"/>
      <c r="D256" s="21"/>
      <c r="E256" s="21"/>
      <c r="F256" s="21"/>
      <c r="G256" s="21"/>
      <c r="H256" s="21"/>
      <c r="I256" s="21"/>
      <c r="J256" s="21"/>
      <c r="K256" s="21"/>
      <c r="L256" s="21"/>
      <c r="M256" s="21"/>
    </row>
    <row r="257" spans="1:13" ht="15" customHeight="1" x14ac:dyDescent="0.25">
      <c r="A257" s="23"/>
      <c r="B257" s="18"/>
      <c r="C257" s="21"/>
      <c r="D257" s="21"/>
      <c r="E257" s="21"/>
      <c r="F257" s="21"/>
      <c r="G257" s="21"/>
      <c r="H257" s="21"/>
      <c r="I257" s="21"/>
      <c r="J257" s="21"/>
      <c r="K257" s="21"/>
      <c r="L257" s="21"/>
      <c r="M257" s="21"/>
    </row>
    <row r="258" spans="1:13" ht="15" customHeight="1" x14ac:dyDescent="0.25">
      <c r="A258" s="23"/>
      <c r="B258" s="18"/>
      <c r="C258" s="21"/>
      <c r="D258" s="21"/>
      <c r="E258" s="21"/>
      <c r="F258" s="21"/>
      <c r="G258" s="21"/>
      <c r="H258" s="21"/>
      <c r="I258" s="21"/>
      <c r="J258" s="21"/>
      <c r="K258" s="21"/>
      <c r="L258" s="21"/>
      <c r="M258" s="21"/>
    </row>
    <row r="259" spans="1:13" ht="15" customHeight="1" x14ac:dyDescent="0.25">
      <c r="A259" s="23"/>
      <c r="B259" s="18"/>
      <c r="C259" s="21"/>
      <c r="D259" s="21"/>
      <c r="E259" s="21"/>
      <c r="F259" s="21"/>
      <c r="G259" s="21"/>
      <c r="H259" s="21"/>
      <c r="I259" s="21"/>
      <c r="J259" s="21"/>
      <c r="K259" s="21"/>
      <c r="L259" s="21"/>
      <c r="M259" s="21"/>
    </row>
    <row r="260" spans="1:13" ht="15" customHeight="1" x14ac:dyDescent="0.25">
      <c r="A260" s="23"/>
      <c r="B260" s="18"/>
      <c r="C260" s="21"/>
      <c r="D260" s="21"/>
      <c r="E260" s="21"/>
      <c r="F260" s="21"/>
      <c r="G260" s="21"/>
      <c r="H260" s="21"/>
      <c r="I260" s="21"/>
      <c r="J260" s="21"/>
      <c r="K260" s="21"/>
      <c r="L260" s="21"/>
      <c r="M260" s="21"/>
    </row>
    <row r="261" spans="1:13" ht="15" customHeight="1" x14ac:dyDescent="0.25">
      <c r="A261" s="23"/>
      <c r="B261" s="18"/>
      <c r="C261" s="21"/>
      <c r="D261" s="21"/>
      <c r="E261" s="21"/>
      <c r="F261" s="21"/>
      <c r="G261" s="21"/>
      <c r="H261" s="21"/>
      <c r="I261" s="21"/>
      <c r="J261" s="21"/>
      <c r="K261" s="21"/>
      <c r="L261" s="21"/>
      <c r="M261" s="21"/>
    </row>
    <row r="262" spans="1:13" ht="15" customHeight="1" x14ac:dyDescent="0.25">
      <c r="A262" s="23"/>
      <c r="B262" s="18"/>
      <c r="C262" s="21"/>
      <c r="D262" s="21"/>
      <c r="E262" s="21"/>
      <c r="F262" s="21"/>
      <c r="G262" s="21"/>
      <c r="H262" s="21"/>
      <c r="I262" s="21"/>
      <c r="J262" s="21"/>
      <c r="K262" s="21"/>
      <c r="L262" s="21"/>
      <c r="M262" s="21"/>
    </row>
    <row r="263" spans="1:13" ht="15" customHeight="1" x14ac:dyDescent="0.25">
      <c r="A263" s="23"/>
      <c r="B263" s="18"/>
      <c r="C263" s="21"/>
      <c r="D263" s="21"/>
      <c r="E263" s="21"/>
      <c r="F263" s="21"/>
      <c r="G263" s="21"/>
      <c r="H263" s="21"/>
      <c r="I263" s="21"/>
      <c r="J263" s="21"/>
      <c r="K263" s="21"/>
      <c r="L263" s="21"/>
      <c r="M263" s="21"/>
    </row>
    <row r="264" spans="1:13" ht="15" customHeight="1" x14ac:dyDescent="0.25">
      <c r="A264" s="23"/>
      <c r="B264" s="18"/>
      <c r="C264" s="21"/>
      <c r="D264" s="21"/>
      <c r="E264" s="21"/>
      <c r="F264" s="21"/>
      <c r="G264" s="21"/>
      <c r="H264" s="21"/>
      <c r="I264" s="21"/>
      <c r="J264" s="21"/>
      <c r="K264" s="21"/>
      <c r="L264" s="21"/>
      <c r="M264" s="21"/>
    </row>
    <row r="265" spans="1:13" ht="15" customHeight="1" x14ac:dyDescent="0.25">
      <c r="A265" s="23"/>
      <c r="B265" s="18"/>
      <c r="C265" s="21"/>
      <c r="D265" s="21"/>
      <c r="E265" s="21"/>
      <c r="F265" s="21"/>
      <c r="G265" s="21"/>
      <c r="H265" s="21"/>
      <c r="I265" s="21"/>
      <c r="J265" s="21"/>
      <c r="K265" s="21"/>
      <c r="L265" s="21"/>
      <c r="M265" s="21"/>
    </row>
    <row r="266" spans="1:13" ht="15" customHeight="1" x14ac:dyDescent="0.25">
      <c r="A266" s="23"/>
      <c r="B266" s="18"/>
      <c r="C266" s="21"/>
      <c r="D266" s="21"/>
      <c r="E266" s="21"/>
      <c r="F266" s="21"/>
      <c r="G266" s="21"/>
      <c r="H266" s="21"/>
      <c r="I266" s="21"/>
      <c r="J266" s="21"/>
      <c r="K266" s="21"/>
      <c r="L266" s="21"/>
      <c r="M266" s="21"/>
    </row>
    <row r="267" spans="1:13" ht="15" customHeight="1" x14ac:dyDescent="0.25">
      <c r="A267" s="23"/>
      <c r="B267" s="18"/>
      <c r="C267" s="21"/>
      <c r="D267" s="21"/>
      <c r="E267" s="21"/>
      <c r="F267" s="21"/>
      <c r="G267" s="21"/>
      <c r="H267" s="21"/>
      <c r="I267" s="21"/>
      <c r="J267" s="21"/>
      <c r="K267" s="21"/>
      <c r="L267" s="21"/>
      <c r="M267" s="21"/>
    </row>
    <row r="268" spans="1:13" ht="15" customHeight="1" x14ac:dyDescent="0.25">
      <c r="A268" s="23"/>
      <c r="B268" s="18"/>
      <c r="C268" s="21"/>
      <c r="D268" s="21"/>
      <c r="E268" s="21"/>
      <c r="F268" s="21"/>
      <c r="G268" s="21"/>
      <c r="H268" s="21"/>
      <c r="I268" s="21"/>
      <c r="J268" s="21"/>
      <c r="K268" s="21"/>
      <c r="L268" s="21"/>
      <c r="M268" s="21"/>
    </row>
    <row r="269" spans="1:13" ht="15" customHeight="1" x14ac:dyDescent="0.25">
      <c r="A269" s="23"/>
      <c r="B269" s="18"/>
      <c r="C269" s="21"/>
      <c r="D269" s="21"/>
      <c r="E269" s="21"/>
      <c r="F269" s="21"/>
      <c r="G269" s="21"/>
      <c r="H269" s="21"/>
      <c r="I269" s="21"/>
      <c r="J269" s="21"/>
      <c r="K269" s="21"/>
      <c r="L269" s="21"/>
      <c r="M269" s="21"/>
    </row>
    <row r="270" spans="1:13" ht="15" customHeight="1" x14ac:dyDescent="0.25">
      <c r="A270" s="23"/>
      <c r="B270" s="18"/>
      <c r="C270" s="21"/>
      <c r="D270" s="21"/>
      <c r="E270" s="21"/>
      <c r="F270" s="21"/>
      <c r="G270" s="21"/>
      <c r="H270" s="21"/>
      <c r="I270" s="21"/>
      <c r="J270" s="21"/>
      <c r="K270" s="21"/>
      <c r="L270" s="21"/>
      <c r="M270" s="21"/>
    </row>
    <row r="271" spans="1:13" ht="15" customHeight="1" x14ac:dyDescent="0.25">
      <c r="A271" s="23"/>
      <c r="B271" s="18"/>
      <c r="C271" s="21"/>
      <c r="D271" s="21"/>
      <c r="E271" s="21"/>
      <c r="F271" s="21"/>
      <c r="G271" s="21"/>
      <c r="H271" s="21"/>
      <c r="I271" s="21"/>
      <c r="J271" s="21"/>
      <c r="K271" s="21"/>
      <c r="L271" s="21"/>
      <c r="M271" s="21"/>
    </row>
    <row r="272" spans="1:13" ht="15" customHeight="1" x14ac:dyDescent="0.25">
      <c r="A272" s="23"/>
      <c r="B272" s="18"/>
      <c r="C272" s="21"/>
      <c r="D272" s="21"/>
      <c r="E272" s="21"/>
      <c r="F272" s="21"/>
      <c r="G272" s="21"/>
      <c r="H272" s="21"/>
      <c r="I272" s="21"/>
      <c r="J272" s="21"/>
      <c r="K272" s="21"/>
      <c r="L272" s="21"/>
      <c r="M272" s="21"/>
    </row>
    <row r="273" spans="1:13" ht="15" customHeight="1" x14ac:dyDescent="0.25">
      <c r="A273" s="23"/>
      <c r="B273" s="18"/>
      <c r="C273" s="21"/>
      <c r="D273" s="21"/>
      <c r="E273" s="21"/>
      <c r="F273" s="21"/>
      <c r="G273" s="21"/>
      <c r="H273" s="21"/>
      <c r="I273" s="21"/>
      <c r="J273" s="21"/>
      <c r="K273" s="21"/>
      <c r="L273" s="21"/>
      <c r="M273" s="21"/>
    </row>
    <row r="274" spans="1:13" ht="15" customHeight="1" x14ac:dyDescent="0.25">
      <c r="A274" s="23"/>
      <c r="B274" s="18"/>
      <c r="C274" s="21"/>
      <c r="D274" s="21"/>
      <c r="E274" s="21"/>
      <c r="F274" s="21"/>
      <c r="G274" s="21"/>
      <c r="H274" s="21"/>
      <c r="I274" s="21"/>
      <c r="J274" s="21"/>
      <c r="K274" s="21"/>
      <c r="L274" s="21"/>
      <c r="M274" s="21"/>
    </row>
    <row r="275" spans="1:13" ht="15" customHeight="1" x14ac:dyDescent="0.25">
      <c r="A275" s="23"/>
      <c r="B275" s="18"/>
      <c r="C275" s="21"/>
      <c r="D275" s="21"/>
      <c r="E275" s="21"/>
      <c r="F275" s="21"/>
      <c r="G275" s="21"/>
      <c r="H275" s="21"/>
      <c r="I275" s="21"/>
      <c r="J275" s="21"/>
      <c r="K275" s="21"/>
      <c r="L275" s="21"/>
      <c r="M275" s="21"/>
    </row>
    <row r="276" spans="1:13" ht="15" customHeight="1" x14ac:dyDescent="0.25">
      <c r="A276" s="23"/>
      <c r="B276" s="18"/>
      <c r="C276" s="21"/>
      <c r="D276" s="21"/>
      <c r="E276" s="21"/>
      <c r="F276" s="21"/>
      <c r="G276" s="21"/>
      <c r="H276" s="21"/>
      <c r="I276" s="21"/>
      <c r="J276" s="21"/>
      <c r="K276" s="21"/>
      <c r="L276" s="21"/>
      <c r="M276" s="21"/>
    </row>
    <row r="277" spans="1:13" ht="15" customHeight="1" x14ac:dyDescent="0.25">
      <c r="A277" s="23"/>
      <c r="B277" s="18"/>
      <c r="C277" s="21"/>
      <c r="D277" s="21"/>
      <c r="E277" s="21"/>
      <c r="F277" s="21"/>
      <c r="G277" s="21"/>
      <c r="H277" s="21"/>
      <c r="I277" s="21"/>
      <c r="J277" s="21"/>
      <c r="K277" s="21"/>
      <c r="L277" s="21"/>
      <c r="M277" s="21"/>
    </row>
    <row r="278" spans="1:13" ht="15" customHeight="1" x14ac:dyDescent="0.25">
      <c r="A278" s="23"/>
      <c r="B278" s="18"/>
      <c r="C278" s="21"/>
      <c r="D278" s="21"/>
      <c r="E278" s="21"/>
      <c r="F278" s="21"/>
      <c r="G278" s="21"/>
      <c r="H278" s="21"/>
      <c r="I278" s="21"/>
      <c r="J278" s="21"/>
      <c r="K278" s="21"/>
      <c r="L278" s="21"/>
      <c r="M278" s="21"/>
    </row>
    <row r="279" spans="1:13" ht="15" customHeight="1" x14ac:dyDescent="0.25">
      <c r="A279" s="23"/>
      <c r="B279" s="18"/>
      <c r="C279" s="21"/>
      <c r="D279" s="21"/>
      <c r="E279" s="21"/>
      <c r="F279" s="21"/>
      <c r="G279" s="21"/>
      <c r="H279" s="21"/>
      <c r="I279" s="21"/>
      <c r="J279" s="21"/>
      <c r="K279" s="21"/>
      <c r="L279" s="21"/>
      <c r="M279" s="21"/>
    </row>
    <row r="280" spans="1:13" ht="15" customHeight="1" x14ac:dyDescent="0.25">
      <c r="A280" s="23"/>
      <c r="B280" s="18"/>
      <c r="C280" s="21"/>
      <c r="D280" s="21"/>
      <c r="E280" s="21"/>
      <c r="F280" s="21"/>
      <c r="G280" s="21"/>
      <c r="H280" s="21"/>
      <c r="I280" s="21"/>
      <c r="J280" s="21"/>
      <c r="K280" s="21"/>
      <c r="L280" s="21"/>
      <c r="M280" s="21"/>
    </row>
    <row r="281" spans="1:13" ht="15" customHeight="1" x14ac:dyDescent="0.25">
      <c r="A281" s="23"/>
      <c r="B281" s="18"/>
      <c r="C281" s="21"/>
      <c r="D281" s="21"/>
      <c r="E281" s="21"/>
      <c r="F281" s="21"/>
      <c r="G281" s="21"/>
      <c r="H281" s="21"/>
      <c r="I281" s="21"/>
      <c r="J281" s="21"/>
      <c r="K281" s="21"/>
      <c r="L281" s="21"/>
      <c r="M281" s="21"/>
    </row>
    <row r="282" spans="1:13" ht="15" customHeight="1" x14ac:dyDescent="0.25">
      <c r="A282" s="23"/>
      <c r="B282" s="18"/>
      <c r="C282" s="21"/>
      <c r="D282" s="21"/>
      <c r="E282" s="21"/>
      <c r="F282" s="21"/>
      <c r="G282" s="21"/>
      <c r="H282" s="21"/>
      <c r="I282" s="21"/>
      <c r="J282" s="21"/>
      <c r="K282" s="21"/>
      <c r="L282" s="21"/>
      <c r="M282" s="21"/>
    </row>
    <row r="283" spans="1:13" ht="15" customHeight="1" x14ac:dyDescent="0.25">
      <c r="A283" s="23"/>
      <c r="B283" s="18"/>
      <c r="C283" s="21"/>
      <c r="D283" s="21"/>
      <c r="E283" s="21"/>
      <c r="F283" s="21"/>
      <c r="G283" s="21"/>
      <c r="H283" s="21"/>
      <c r="I283" s="21"/>
      <c r="J283" s="21"/>
      <c r="K283" s="21"/>
      <c r="L283" s="21"/>
      <c r="M283" s="21"/>
    </row>
    <row r="284" spans="1:13" ht="15" customHeight="1" x14ac:dyDescent="0.25">
      <c r="A284" s="23"/>
      <c r="B284" s="18"/>
      <c r="C284" s="21"/>
      <c r="D284" s="21"/>
      <c r="E284" s="21"/>
      <c r="F284" s="21"/>
      <c r="G284" s="21"/>
      <c r="H284" s="21"/>
      <c r="I284" s="21"/>
      <c r="J284" s="21"/>
      <c r="K284" s="21"/>
      <c r="L284" s="21"/>
      <c r="M284" s="21"/>
    </row>
    <row r="285" spans="1:13" ht="15" customHeight="1" x14ac:dyDescent="0.25">
      <c r="A285" s="23"/>
      <c r="B285" s="18"/>
      <c r="C285" s="21"/>
      <c r="D285" s="21"/>
      <c r="E285" s="21"/>
      <c r="F285" s="21"/>
      <c r="G285" s="21"/>
      <c r="H285" s="21"/>
      <c r="I285" s="21"/>
      <c r="J285" s="21"/>
      <c r="K285" s="21"/>
      <c r="L285" s="21"/>
      <c r="M285" s="21"/>
    </row>
    <row r="286" spans="1:13" ht="15" customHeight="1" x14ac:dyDescent="0.25">
      <c r="A286" s="23"/>
      <c r="B286" s="18"/>
      <c r="C286" s="21"/>
      <c r="D286" s="21"/>
      <c r="E286" s="21"/>
      <c r="F286" s="21"/>
      <c r="G286" s="21"/>
      <c r="H286" s="21"/>
      <c r="I286" s="21"/>
      <c r="J286" s="21"/>
      <c r="K286" s="21"/>
      <c r="L286" s="21"/>
      <c r="M286" s="21"/>
    </row>
    <row r="287" spans="1:13" ht="15" customHeight="1" x14ac:dyDescent="0.25">
      <c r="A287" s="23"/>
      <c r="B287" s="18"/>
      <c r="C287" s="21"/>
      <c r="D287" s="21"/>
      <c r="E287" s="21"/>
      <c r="F287" s="21"/>
      <c r="G287" s="21"/>
      <c r="H287" s="21"/>
      <c r="I287" s="21"/>
      <c r="J287" s="21"/>
      <c r="K287" s="21"/>
      <c r="L287" s="21"/>
      <c r="M287" s="21"/>
    </row>
    <row r="288" spans="1:13" ht="15" customHeight="1" x14ac:dyDescent="0.25">
      <c r="A288" s="23"/>
      <c r="B288" s="18"/>
      <c r="C288" s="21"/>
      <c r="D288" s="21"/>
      <c r="E288" s="21"/>
      <c r="F288" s="21"/>
      <c r="G288" s="21"/>
      <c r="H288" s="21"/>
      <c r="I288" s="21"/>
      <c r="J288" s="21"/>
      <c r="K288" s="21"/>
      <c r="L288" s="21"/>
      <c r="M288" s="21"/>
    </row>
    <row r="289" spans="1:13" ht="15" customHeight="1" x14ac:dyDescent="0.25">
      <c r="A289" s="23"/>
      <c r="B289" s="18"/>
      <c r="C289" s="21"/>
      <c r="D289" s="21"/>
      <c r="E289" s="21"/>
      <c r="F289" s="21"/>
      <c r="G289" s="21"/>
      <c r="H289" s="21"/>
      <c r="I289" s="21"/>
      <c r="J289" s="21"/>
      <c r="K289" s="21"/>
      <c r="L289" s="21"/>
      <c r="M289" s="21"/>
    </row>
    <row r="290" spans="1:13" ht="15" customHeight="1" x14ac:dyDescent="0.25">
      <c r="A290" s="23"/>
      <c r="B290" s="18"/>
      <c r="C290" s="21"/>
      <c r="D290" s="21"/>
      <c r="E290" s="21"/>
      <c r="F290" s="21"/>
      <c r="G290" s="21"/>
      <c r="H290" s="21"/>
      <c r="I290" s="21"/>
      <c r="J290" s="21"/>
      <c r="K290" s="21"/>
      <c r="L290" s="21"/>
      <c r="M290" s="21"/>
    </row>
    <row r="291" spans="1:13" ht="15" customHeight="1" x14ac:dyDescent="0.25">
      <c r="A291" s="23"/>
      <c r="B291" s="18"/>
      <c r="C291" s="21"/>
      <c r="D291" s="21"/>
      <c r="E291" s="21"/>
      <c r="F291" s="21"/>
      <c r="G291" s="21"/>
      <c r="H291" s="21"/>
      <c r="I291" s="21"/>
      <c r="J291" s="21"/>
      <c r="K291" s="21"/>
      <c r="L291" s="21"/>
      <c r="M291" s="21"/>
    </row>
    <row r="292" spans="1:13" ht="15" customHeight="1" x14ac:dyDescent="0.25">
      <c r="A292" s="23"/>
      <c r="B292" s="18"/>
      <c r="C292" s="21"/>
      <c r="D292" s="21"/>
      <c r="E292" s="21"/>
      <c r="F292" s="21"/>
      <c r="G292" s="21"/>
      <c r="H292" s="21"/>
      <c r="I292" s="21"/>
      <c r="J292" s="21"/>
      <c r="K292" s="21"/>
      <c r="L292" s="21"/>
      <c r="M292" s="21"/>
    </row>
    <row r="293" spans="1:13" ht="15" customHeight="1" x14ac:dyDescent="0.25">
      <c r="A293" s="23"/>
      <c r="B293" s="18"/>
      <c r="C293" s="21"/>
      <c r="D293" s="21"/>
      <c r="E293" s="21"/>
      <c r="F293" s="21"/>
      <c r="G293" s="21"/>
      <c r="H293" s="21"/>
      <c r="I293" s="21"/>
      <c r="J293" s="21"/>
      <c r="K293" s="21"/>
      <c r="L293" s="21"/>
      <c r="M293" s="21"/>
    </row>
    <row r="294" spans="1:13" ht="15" customHeight="1" x14ac:dyDescent="0.25">
      <c r="A294" s="23"/>
      <c r="B294" s="18"/>
      <c r="C294" s="21"/>
      <c r="D294" s="21"/>
      <c r="E294" s="21"/>
      <c r="F294" s="21"/>
      <c r="G294" s="21"/>
      <c r="H294" s="21"/>
      <c r="I294" s="21"/>
      <c r="J294" s="21"/>
      <c r="K294" s="21"/>
      <c r="L294" s="21"/>
      <c r="M294" s="21"/>
    </row>
    <row r="295" spans="1:13" ht="15" customHeight="1" x14ac:dyDescent="0.25">
      <c r="A295" s="23"/>
      <c r="B295" s="18"/>
      <c r="C295" s="21"/>
      <c r="D295" s="21"/>
      <c r="E295" s="21"/>
      <c r="F295" s="21"/>
      <c r="G295" s="21"/>
      <c r="H295" s="21"/>
      <c r="I295" s="21"/>
      <c r="J295" s="21"/>
      <c r="K295" s="21"/>
      <c r="L295" s="21"/>
      <c r="M295" s="21"/>
    </row>
    <row r="296" spans="1:13" ht="15" customHeight="1" x14ac:dyDescent="0.25">
      <c r="A296" s="23"/>
      <c r="B296" s="18"/>
      <c r="C296" s="21"/>
      <c r="D296" s="21"/>
      <c r="E296" s="21"/>
      <c r="F296" s="21"/>
      <c r="G296" s="21"/>
      <c r="H296" s="21"/>
      <c r="I296" s="21"/>
      <c r="J296" s="21"/>
      <c r="K296" s="21"/>
      <c r="L296" s="21"/>
      <c r="M296" s="21"/>
    </row>
    <row r="297" spans="1:13" ht="15" customHeight="1" x14ac:dyDescent="0.25">
      <c r="A297" s="23"/>
      <c r="B297" s="18"/>
      <c r="C297" s="21"/>
      <c r="D297" s="21"/>
      <c r="E297" s="21"/>
      <c r="F297" s="21"/>
      <c r="G297" s="21"/>
      <c r="H297" s="21"/>
      <c r="I297" s="21"/>
      <c r="J297" s="21"/>
      <c r="K297" s="21"/>
      <c r="L297" s="21"/>
      <c r="M297" s="21"/>
    </row>
    <row r="298" spans="1:13" ht="15" customHeight="1" x14ac:dyDescent="0.25">
      <c r="A298" s="23"/>
      <c r="B298" s="18"/>
      <c r="C298" s="21"/>
      <c r="D298" s="21"/>
      <c r="E298" s="21"/>
      <c r="F298" s="21"/>
      <c r="G298" s="21"/>
      <c r="H298" s="21"/>
      <c r="I298" s="21"/>
      <c r="J298" s="21"/>
      <c r="K298" s="21"/>
      <c r="L298" s="21"/>
      <c r="M298" s="21"/>
    </row>
    <row r="299" spans="1:13" ht="15" customHeight="1" x14ac:dyDescent="0.25">
      <c r="A299" s="23"/>
      <c r="B299" s="18"/>
      <c r="C299" s="21"/>
      <c r="D299" s="21"/>
      <c r="E299" s="21"/>
      <c r="F299" s="21"/>
      <c r="G299" s="21"/>
      <c r="H299" s="21"/>
      <c r="I299" s="21"/>
      <c r="J299" s="21"/>
      <c r="K299" s="21"/>
      <c r="L299" s="21"/>
      <c r="M299" s="21"/>
    </row>
    <row r="300" spans="1:13" ht="15" customHeight="1" x14ac:dyDescent="0.25">
      <c r="A300" s="23"/>
      <c r="B300" s="18"/>
      <c r="C300" s="21"/>
      <c r="D300" s="21"/>
      <c r="E300" s="21"/>
      <c r="F300" s="21"/>
      <c r="G300" s="21"/>
      <c r="H300" s="21"/>
      <c r="I300" s="21"/>
      <c r="J300" s="21"/>
      <c r="K300" s="21"/>
      <c r="L300" s="21"/>
      <c r="M300" s="21"/>
    </row>
    <row r="301" spans="1:13" ht="15" customHeight="1" x14ac:dyDescent="0.25">
      <c r="A301" s="23"/>
      <c r="B301" s="18"/>
      <c r="C301" s="21"/>
      <c r="D301" s="21"/>
      <c r="E301" s="21"/>
      <c r="F301" s="21"/>
      <c r="G301" s="21"/>
      <c r="H301" s="21"/>
      <c r="I301" s="21"/>
      <c r="J301" s="21"/>
      <c r="K301" s="21"/>
      <c r="L301" s="21"/>
      <c r="M301" s="21"/>
    </row>
    <row r="302" spans="1:13" ht="15" customHeight="1" x14ac:dyDescent="0.25">
      <c r="A302" s="23"/>
      <c r="B302" s="18"/>
      <c r="C302" s="21"/>
      <c r="D302" s="21"/>
      <c r="E302" s="21"/>
      <c r="F302" s="21"/>
      <c r="G302" s="21"/>
      <c r="H302" s="21"/>
      <c r="I302" s="21"/>
      <c r="J302" s="21"/>
      <c r="K302" s="21"/>
      <c r="L302" s="21"/>
      <c r="M302" s="21"/>
    </row>
    <row r="303" spans="1:13" ht="15" customHeight="1" x14ac:dyDescent="0.25">
      <c r="A303" s="23"/>
      <c r="B303" s="18"/>
      <c r="C303" s="21"/>
      <c r="D303" s="21"/>
      <c r="E303" s="21"/>
      <c r="F303" s="21"/>
      <c r="G303" s="21"/>
      <c r="H303" s="21"/>
      <c r="I303" s="21"/>
      <c r="J303" s="21"/>
      <c r="K303" s="21"/>
      <c r="L303" s="21"/>
      <c r="M303" s="21"/>
    </row>
    <row r="304" spans="1:13" ht="15" customHeight="1" x14ac:dyDescent="0.25">
      <c r="A304" s="23"/>
      <c r="B304" s="18"/>
      <c r="C304" s="21"/>
      <c r="D304" s="21"/>
      <c r="E304" s="21"/>
      <c r="F304" s="21"/>
      <c r="G304" s="21"/>
      <c r="H304" s="21"/>
      <c r="I304" s="21"/>
      <c r="J304" s="21"/>
      <c r="K304" s="21"/>
      <c r="L304" s="21"/>
      <c r="M304" s="21"/>
    </row>
    <row r="305" spans="1:13" ht="15" customHeight="1" x14ac:dyDescent="0.25">
      <c r="A305" s="23"/>
      <c r="B305" s="18"/>
      <c r="C305" s="21"/>
      <c r="D305" s="21"/>
      <c r="E305" s="21"/>
      <c r="F305" s="21"/>
      <c r="G305" s="21"/>
      <c r="H305" s="21"/>
      <c r="I305" s="21"/>
      <c r="J305" s="21"/>
      <c r="K305" s="21"/>
      <c r="L305" s="21"/>
      <c r="M305" s="21"/>
    </row>
    <row r="306" spans="1:13" ht="15" customHeight="1" x14ac:dyDescent="0.25">
      <c r="A306" s="23"/>
      <c r="B306" s="18"/>
      <c r="C306" s="21"/>
      <c r="D306" s="21"/>
      <c r="E306" s="21"/>
      <c r="F306" s="21"/>
      <c r="G306" s="21"/>
      <c r="H306" s="21"/>
      <c r="I306" s="21"/>
      <c r="J306" s="21"/>
      <c r="K306" s="21"/>
      <c r="L306" s="21"/>
      <c r="M306" s="21"/>
    </row>
    <row r="307" spans="1:13" ht="15" customHeight="1" x14ac:dyDescent="0.25">
      <c r="A307" s="23"/>
      <c r="B307" s="18"/>
      <c r="C307" s="21"/>
      <c r="D307" s="21"/>
      <c r="E307" s="21"/>
      <c r="F307" s="21"/>
      <c r="G307" s="21"/>
      <c r="H307" s="21"/>
      <c r="I307" s="21"/>
      <c r="J307" s="21"/>
      <c r="K307" s="21"/>
      <c r="L307" s="21"/>
      <c r="M307" s="21"/>
    </row>
    <row r="308" spans="1:13" ht="15" customHeight="1" x14ac:dyDescent="0.25">
      <c r="A308" s="23"/>
      <c r="B308" s="18"/>
      <c r="C308" s="21"/>
      <c r="D308" s="21"/>
      <c r="E308" s="21"/>
      <c r="F308" s="21"/>
      <c r="G308" s="21"/>
      <c r="H308" s="21"/>
      <c r="I308" s="21"/>
      <c r="J308" s="21"/>
      <c r="K308" s="21"/>
      <c r="L308" s="21"/>
      <c r="M308" s="21"/>
    </row>
    <row r="309" spans="1:13" ht="15" customHeight="1" x14ac:dyDescent="0.25">
      <c r="A309" s="23"/>
      <c r="B309" s="18"/>
      <c r="C309" s="21"/>
      <c r="D309" s="21"/>
      <c r="E309" s="21"/>
      <c r="F309" s="21"/>
      <c r="G309" s="21"/>
      <c r="H309" s="21"/>
      <c r="I309" s="21"/>
      <c r="J309" s="21"/>
      <c r="K309" s="21"/>
      <c r="L309" s="21"/>
      <c r="M309" s="21"/>
    </row>
    <row r="310" spans="1:13" ht="15" customHeight="1" x14ac:dyDescent="0.25">
      <c r="A310" s="23"/>
      <c r="B310" s="18"/>
      <c r="C310" s="21"/>
      <c r="D310" s="21"/>
      <c r="E310" s="21"/>
      <c r="F310" s="21"/>
      <c r="G310" s="21"/>
      <c r="H310" s="21"/>
      <c r="I310" s="21"/>
      <c r="J310" s="21"/>
      <c r="K310" s="21"/>
      <c r="L310" s="21"/>
      <c r="M310" s="21"/>
    </row>
    <row r="311" spans="1:13" ht="15" customHeight="1" x14ac:dyDescent="0.25">
      <c r="A311" s="23"/>
      <c r="B311" s="18"/>
      <c r="C311" s="21"/>
      <c r="D311" s="21"/>
      <c r="E311" s="21"/>
      <c r="F311" s="21"/>
      <c r="G311" s="21"/>
      <c r="H311" s="21"/>
      <c r="I311" s="21"/>
      <c r="J311" s="21"/>
      <c r="K311" s="21"/>
      <c r="L311" s="21"/>
      <c r="M311" s="21"/>
    </row>
    <row r="312" spans="1:13" ht="15" customHeight="1" x14ac:dyDescent="0.25">
      <c r="A312" s="23"/>
      <c r="B312" s="18"/>
      <c r="C312" s="21"/>
      <c r="D312" s="21"/>
      <c r="E312" s="21"/>
      <c r="F312" s="21"/>
      <c r="G312" s="21"/>
      <c r="H312" s="21"/>
      <c r="I312" s="21"/>
      <c r="J312" s="21"/>
      <c r="K312" s="21"/>
      <c r="L312" s="21"/>
      <c r="M312" s="21"/>
    </row>
    <row r="313" spans="1:13" ht="15" customHeight="1" x14ac:dyDescent="0.25">
      <c r="A313" s="23"/>
      <c r="B313" s="18"/>
      <c r="C313" s="21"/>
      <c r="D313" s="21"/>
      <c r="E313" s="21"/>
      <c r="F313" s="21"/>
      <c r="G313" s="21"/>
      <c r="H313" s="21"/>
      <c r="I313" s="21"/>
      <c r="J313" s="21"/>
      <c r="K313" s="21"/>
      <c r="L313" s="21"/>
      <c r="M313" s="21"/>
    </row>
    <row r="314" spans="1:13" ht="15" customHeight="1" x14ac:dyDescent="0.25">
      <c r="A314" s="23"/>
      <c r="B314" s="18"/>
      <c r="C314" s="21"/>
      <c r="D314" s="21"/>
      <c r="E314" s="21"/>
      <c r="F314" s="21"/>
      <c r="G314" s="21"/>
      <c r="H314" s="21"/>
      <c r="I314" s="21"/>
      <c r="J314" s="21"/>
      <c r="K314" s="21"/>
      <c r="L314" s="21"/>
      <c r="M314" s="21"/>
    </row>
    <row r="315" spans="1:13" ht="15" customHeight="1" x14ac:dyDescent="0.25">
      <c r="A315" s="23"/>
      <c r="B315" s="18"/>
      <c r="C315" s="21"/>
      <c r="D315" s="21"/>
      <c r="E315" s="21"/>
      <c r="F315" s="21"/>
      <c r="G315" s="21"/>
      <c r="H315" s="21"/>
      <c r="I315" s="21"/>
      <c r="J315" s="21"/>
      <c r="K315" s="21"/>
      <c r="L315" s="21"/>
      <c r="M315" s="21"/>
    </row>
    <row r="316" spans="1:13" ht="15" customHeight="1" x14ac:dyDescent="0.25">
      <c r="A316" s="23"/>
      <c r="B316" s="18"/>
      <c r="C316" s="21"/>
      <c r="D316" s="21"/>
      <c r="E316" s="21"/>
      <c r="F316" s="21"/>
      <c r="G316" s="21"/>
      <c r="H316" s="21"/>
      <c r="I316" s="21"/>
      <c r="J316" s="21"/>
      <c r="K316" s="21"/>
      <c r="L316" s="21"/>
      <c r="M316" s="21"/>
    </row>
    <row r="317" spans="1:13" ht="15" customHeight="1" x14ac:dyDescent="0.25">
      <c r="A317" s="23"/>
      <c r="B317" s="18"/>
      <c r="C317" s="21"/>
      <c r="D317" s="21"/>
      <c r="E317" s="21"/>
      <c r="F317" s="21"/>
      <c r="G317" s="21"/>
      <c r="H317" s="21"/>
      <c r="I317" s="21"/>
      <c r="J317" s="21"/>
      <c r="K317" s="21"/>
      <c r="L317" s="21"/>
      <c r="M317" s="21"/>
    </row>
    <row r="318" spans="1:13" ht="15" customHeight="1" x14ac:dyDescent="0.25">
      <c r="A318" s="23"/>
      <c r="B318" s="18"/>
      <c r="C318" s="21"/>
      <c r="D318" s="21"/>
      <c r="E318" s="21"/>
      <c r="F318" s="21"/>
      <c r="G318" s="21"/>
      <c r="H318" s="21"/>
      <c r="I318" s="21"/>
      <c r="J318" s="21"/>
      <c r="K318" s="21"/>
      <c r="L318" s="21"/>
      <c r="M318" s="21"/>
    </row>
    <row r="319" spans="1:13" ht="15" customHeight="1" x14ac:dyDescent="0.25">
      <c r="A319" s="23"/>
      <c r="B319" s="18"/>
      <c r="C319" s="21"/>
      <c r="D319" s="21"/>
      <c r="E319" s="21"/>
      <c r="F319" s="21"/>
      <c r="G319" s="21"/>
      <c r="H319" s="21"/>
      <c r="I319" s="21"/>
      <c r="J319" s="21"/>
      <c r="K319" s="21"/>
      <c r="L319" s="21"/>
      <c r="M319" s="21"/>
    </row>
    <row r="320" spans="1:13" ht="15" customHeight="1" x14ac:dyDescent="0.25">
      <c r="A320" s="23"/>
      <c r="B320" s="18"/>
      <c r="C320" s="21"/>
      <c r="D320" s="21"/>
      <c r="E320" s="21"/>
      <c r="F320" s="21"/>
      <c r="G320" s="21"/>
      <c r="H320" s="21"/>
      <c r="I320" s="21"/>
      <c r="J320" s="21"/>
      <c r="K320" s="21"/>
      <c r="L320" s="21"/>
      <c r="M320" s="21"/>
    </row>
    <row r="321" spans="1:13" ht="15" customHeight="1" x14ac:dyDescent="0.25">
      <c r="A321" s="23"/>
      <c r="B321" s="18"/>
      <c r="C321" s="21"/>
      <c r="D321" s="21"/>
      <c r="E321" s="21"/>
      <c r="F321" s="21"/>
      <c r="G321" s="21"/>
      <c r="H321" s="21"/>
      <c r="I321" s="21"/>
      <c r="J321" s="21"/>
      <c r="K321" s="21"/>
      <c r="L321" s="21"/>
      <c r="M321" s="21"/>
    </row>
    <row r="322" spans="1:13" ht="15" customHeight="1" x14ac:dyDescent="0.25">
      <c r="A322" s="23"/>
      <c r="B322" s="18"/>
      <c r="C322" s="21"/>
      <c r="D322" s="21"/>
      <c r="E322" s="21"/>
      <c r="F322" s="21"/>
      <c r="G322" s="21"/>
      <c r="H322" s="21"/>
      <c r="I322" s="21"/>
      <c r="J322" s="21"/>
      <c r="K322" s="21"/>
      <c r="L322" s="21"/>
      <c r="M322" s="21"/>
    </row>
    <row r="323" spans="1:13" ht="15" customHeight="1" x14ac:dyDescent="0.25">
      <c r="A323" s="23"/>
      <c r="B323" s="18"/>
      <c r="C323" s="21"/>
      <c r="D323" s="21"/>
      <c r="E323" s="21"/>
      <c r="F323" s="21"/>
      <c r="G323" s="21"/>
      <c r="H323" s="21"/>
      <c r="I323" s="21"/>
      <c r="J323" s="21"/>
      <c r="K323" s="21"/>
      <c r="L323" s="21"/>
      <c r="M323" s="21"/>
    </row>
    <row r="324" spans="1:13" ht="15" customHeight="1" x14ac:dyDescent="0.25">
      <c r="A324" s="23"/>
      <c r="B324" s="18"/>
      <c r="C324" s="21"/>
      <c r="D324" s="21"/>
      <c r="E324" s="21"/>
      <c r="F324" s="21"/>
      <c r="G324" s="21"/>
      <c r="H324" s="21"/>
      <c r="I324" s="21"/>
      <c r="J324" s="21"/>
      <c r="K324" s="21"/>
      <c r="L324" s="21"/>
      <c r="M324" s="21"/>
    </row>
    <row r="325" spans="1:13" ht="15" customHeight="1" x14ac:dyDescent="0.25">
      <c r="A325" s="23"/>
      <c r="B325" s="18"/>
      <c r="C325" s="21"/>
      <c r="D325" s="21"/>
      <c r="E325" s="21"/>
      <c r="F325" s="21"/>
      <c r="G325" s="21"/>
      <c r="H325" s="21"/>
      <c r="I325" s="21"/>
      <c r="J325" s="21"/>
      <c r="K325" s="21"/>
      <c r="L325" s="21"/>
      <c r="M325" s="21"/>
    </row>
    <row r="326" spans="1:13" ht="15" customHeight="1" x14ac:dyDescent="0.25">
      <c r="A326" s="23"/>
      <c r="B326" s="18"/>
      <c r="C326" s="21"/>
      <c r="D326" s="21"/>
      <c r="E326" s="21"/>
      <c r="F326" s="21"/>
      <c r="G326" s="21"/>
      <c r="H326" s="21"/>
      <c r="I326" s="21"/>
      <c r="J326" s="21"/>
      <c r="K326" s="21"/>
      <c r="L326" s="21"/>
      <c r="M326" s="21"/>
    </row>
    <row r="327" spans="1:13" ht="15" customHeight="1" x14ac:dyDescent="0.25">
      <c r="A327" s="23"/>
      <c r="B327" s="18"/>
      <c r="C327" s="21"/>
      <c r="D327" s="21"/>
      <c r="E327" s="21"/>
      <c r="F327" s="21"/>
      <c r="G327" s="21"/>
      <c r="H327" s="21"/>
      <c r="I327" s="21"/>
      <c r="J327" s="21"/>
      <c r="K327" s="21"/>
      <c r="L327" s="21"/>
      <c r="M327" s="21"/>
    </row>
    <row r="328" spans="1:13" ht="15" customHeight="1" x14ac:dyDescent="0.25">
      <c r="A328" s="23"/>
      <c r="B328" s="18"/>
      <c r="C328" s="21"/>
      <c r="D328" s="21"/>
      <c r="E328" s="21"/>
      <c r="F328" s="21"/>
      <c r="G328" s="21"/>
      <c r="H328" s="21"/>
      <c r="I328" s="21"/>
      <c r="J328" s="21"/>
      <c r="K328" s="21"/>
      <c r="L328" s="21"/>
      <c r="M328" s="21"/>
    </row>
    <row r="329" spans="1:13" ht="15" customHeight="1" x14ac:dyDescent="0.25">
      <c r="A329" s="23"/>
      <c r="B329" s="18"/>
      <c r="C329" s="21"/>
      <c r="D329" s="21"/>
      <c r="E329" s="21"/>
      <c r="F329" s="21"/>
      <c r="G329" s="21"/>
      <c r="H329" s="21"/>
      <c r="I329" s="21"/>
      <c r="J329" s="21"/>
      <c r="K329" s="21"/>
      <c r="L329" s="21"/>
      <c r="M329" s="21"/>
    </row>
    <row r="330" spans="1:13" ht="15" customHeight="1" x14ac:dyDescent="0.25">
      <c r="A330" s="23"/>
      <c r="B330" s="18"/>
      <c r="C330" s="21"/>
      <c r="D330" s="21"/>
      <c r="E330" s="21"/>
      <c r="F330" s="21"/>
      <c r="G330" s="21"/>
      <c r="H330" s="21"/>
      <c r="I330" s="21"/>
      <c r="J330" s="21"/>
      <c r="K330" s="21"/>
      <c r="L330" s="21"/>
      <c r="M330" s="21"/>
    </row>
    <row r="331" spans="1:13" ht="15" customHeight="1" x14ac:dyDescent="0.25">
      <c r="A331" s="23"/>
      <c r="B331" s="18"/>
      <c r="C331" s="21"/>
      <c r="D331" s="21"/>
      <c r="E331" s="21"/>
      <c r="F331" s="21"/>
      <c r="G331" s="21"/>
      <c r="H331" s="21"/>
      <c r="I331" s="21"/>
      <c r="J331" s="21"/>
      <c r="K331" s="21"/>
      <c r="L331" s="21"/>
      <c r="M331" s="21"/>
    </row>
    <row r="332" spans="1:13" ht="15" customHeight="1" x14ac:dyDescent="0.25">
      <c r="A332" s="23"/>
      <c r="B332" s="18"/>
      <c r="C332" s="21"/>
      <c r="D332" s="21"/>
      <c r="E332" s="21"/>
      <c r="F332" s="21"/>
      <c r="G332" s="21"/>
      <c r="H332" s="21"/>
      <c r="I332" s="21"/>
      <c r="J332" s="21"/>
      <c r="K332" s="21"/>
      <c r="L332" s="21"/>
      <c r="M332" s="21"/>
    </row>
    <row r="333" spans="1:13" ht="15" customHeight="1" x14ac:dyDescent="0.25">
      <c r="A333" s="23"/>
      <c r="B333" s="18"/>
      <c r="C333" s="21"/>
      <c r="D333" s="21"/>
      <c r="E333" s="21"/>
      <c r="F333" s="21"/>
      <c r="G333" s="21"/>
      <c r="H333" s="21"/>
      <c r="I333" s="21"/>
      <c r="J333" s="21"/>
      <c r="K333" s="21"/>
      <c r="L333" s="21"/>
      <c r="M333" s="21"/>
    </row>
    <row r="334" spans="1:13" ht="15" customHeight="1" x14ac:dyDescent="0.25">
      <c r="A334" s="23"/>
      <c r="B334" s="18"/>
      <c r="C334" s="21"/>
      <c r="D334" s="21"/>
      <c r="E334" s="21"/>
      <c r="F334" s="21"/>
      <c r="G334" s="21"/>
      <c r="H334" s="21"/>
      <c r="I334" s="21"/>
      <c r="J334" s="21"/>
      <c r="K334" s="21"/>
      <c r="L334" s="21"/>
      <c r="M334" s="21"/>
    </row>
    <row r="335" spans="1:13" ht="15" customHeight="1" x14ac:dyDescent="0.25">
      <c r="A335" s="23"/>
      <c r="B335" s="18"/>
      <c r="C335" s="21"/>
      <c r="D335" s="21"/>
      <c r="E335" s="21"/>
      <c r="F335" s="21"/>
      <c r="G335" s="21"/>
      <c r="H335" s="21"/>
      <c r="I335" s="21"/>
      <c r="J335" s="21"/>
      <c r="K335" s="21"/>
      <c r="L335" s="21"/>
      <c r="M335" s="21"/>
    </row>
    <row r="336" spans="1:13" ht="15" customHeight="1" x14ac:dyDescent="0.25">
      <c r="A336" s="23"/>
      <c r="B336" s="18"/>
      <c r="C336" s="21"/>
      <c r="D336" s="21"/>
      <c r="E336" s="21"/>
      <c r="F336" s="21"/>
      <c r="G336" s="21"/>
      <c r="H336" s="21"/>
      <c r="I336" s="21"/>
      <c r="J336" s="21"/>
      <c r="K336" s="21"/>
      <c r="L336" s="21"/>
      <c r="M336" s="21"/>
    </row>
    <row r="337" spans="1:13" ht="15" customHeight="1" x14ac:dyDescent="0.25">
      <c r="A337" s="23"/>
      <c r="B337" s="18"/>
      <c r="C337" s="21"/>
      <c r="D337" s="21"/>
      <c r="E337" s="21"/>
      <c r="F337" s="21"/>
      <c r="G337" s="21"/>
      <c r="H337" s="21"/>
      <c r="I337" s="21"/>
      <c r="J337" s="21"/>
      <c r="K337" s="21"/>
      <c r="L337" s="21"/>
      <c r="M337" s="21"/>
    </row>
    <row r="338" spans="1:13" ht="15" customHeight="1" x14ac:dyDescent="0.25">
      <c r="A338" s="23"/>
      <c r="B338" s="18"/>
      <c r="C338" s="21"/>
      <c r="D338" s="21"/>
      <c r="E338" s="21"/>
      <c r="F338" s="21"/>
      <c r="G338" s="21"/>
      <c r="H338" s="21"/>
      <c r="I338" s="21"/>
      <c r="J338" s="21"/>
      <c r="K338" s="21"/>
      <c r="L338" s="21"/>
      <c r="M338" s="21"/>
    </row>
    <row r="339" spans="1:13" ht="15" customHeight="1" x14ac:dyDescent="0.25">
      <c r="A339" s="23"/>
      <c r="B339" s="18"/>
      <c r="C339" s="21"/>
      <c r="D339" s="21"/>
      <c r="E339" s="21"/>
      <c r="F339" s="21"/>
      <c r="G339" s="21"/>
      <c r="H339" s="21"/>
      <c r="I339" s="21"/>
      <c r="J339" s="21"/>
      <c r="K339" s="21"/>
      <c r="L339" s="21"/>
      <c r="M339" s="21"/>
    </row>
    <row r="340" spans="1:13" ht="15" customHeight="1" x14ac:dyDescent="0.25">
      <c r="A340" s="23"/>
      <c r="B340" s="18"/>
      <c r="C340" s="21"/>
      <c r="D340" s="21"/>
      <c r="E340" s="21"/>
      <c r="F340" s="21"/>
      <c r="G340" s="21"/>
      <c r="H340" s="21"/>
      <c r="I340" s="21"/>
      <c r="J340" s="21"/>
      <c r="K340" s="21"/>
      <c r="L340" s="21"/>
      <c r="M340" s="21"/>
    </row>
    <row r="341" spans="1:13" ht="15" customHeight="1" x14ac:dyDescent="0.25">
      <c r="A341" s="23"/>
      <c r="B341" s="18"/>
      <c r="C341" s="21"/>
      <c r="D341" s="21"/>
      <c r="E341" s="21"/>
      <c r="F341" s="21"/>
      <c r="G341" s="21"/>
      <c r="H341" s="21"/>
      <c r="I341" s="21"/>
      <c r="J341" s="21"/>
      <c r="K341" s="21"/>
      <c r="L341" s="21"/>
      <c r="M341" s="21"/>
    </row>
    <row r="342" spans="1:13" ht="15" customHeight="1" x14ac:dyDescent="0.25">
      <c r="A342" s="23"/>
      <c r="B342" s="18"/>
      <c r="C342" s="21"/>
      <c r="D342" s="21"/>
      <c r="E342" s="21"/>
      <c r="F342" s="21"/>
      <c r="G342" s="21"/>
      <c r="H342" s="21"/>
      <c r="I342" s="21"/>
      <c r="J342" s="21"/>
      <c r="K342" s="21"/>
      <c r="L342" s="21"/>
      <c r="M342" s="21"/>
    </row>
    <row r="343" spans="1:13" ht="15" customHeight="1" x14ac:dyDescent="0.25">
      <c r="A343" s="23"/>
      <c r="B343" s="18"/>
      <c r="C343" s="21"/>
      <c r="D343" s="21"/>
      <c r="E343" s="21"/>
      <c r="F343" s="21"/>
      <c r="G343" s="21"/>
      <c r="H343" s="21"/>
      <c r="I343" s="21"/>
      <c r="J343" s="21"/>
      <c r="K343" s="21"/>
      <c r="L343" s="21"/>
      <c r="M343" s="21"/>
    </row>
    <row r="344" spans="1:13" ht="15" customHeight="1" x14ac:dyDescent="0.25">
      <c r="A344" s="23"/>
      <c r="B344" s="18"/>
      <c r="C344" s="21"/>
      <c r="D344" s="21"/>
      <c r="E344" s="21"/>
      <c r="F344" s="21"/>
      <c r="G344" s="21"/>
      <c r="H344" s="21"/>
      <c r="I344" s="21"/>
      <c r="J344" s="21"/>
      <c r="K344" s="21"/>
      <c r="L344" s="21"/>
      <c r="M344" s="21"/>
    </row>
    <row r="345" spans="1:13" ht="15" customHeight="1" x14ac:dyDescent="0.25">
      <c r="A345" s="23"/>
      <c r="B345" s="18"/>
      <c r="C345" s="21"/>
      <c r="D345" s="21"/>
      <c r="E345" s="21"/>
      <c r="F345" s="21"/>
      <c r="G345" s="21"/>
      <c r="H345" s="21"/>
      <c r="I345" s="21"/>
      <c r="J345" s="21"/>
      <c r="K345" s="21"/>
      <c r="L345" s="21"/>
      <c r="M345" s="21"/>
    </row>
    <row r="346" spans="1:13" ht="15" customHeight="1" x14ac:dyDescent="0.25">
      <c r="A346" s="23"/>
      <c r="B346" s="18"/>
      <c r="C346" s="21"/>
      <c r="D346" s="21"/>
      <c r="E346" s="21"/>
      <c r="F346" s="21"/>
      <c r="G346" s="21"/>
      <c r="H346" s="21"/>
      <c r="I346" s="21"/>
      <c r="J346" s="21"/>
      <c r="K346" s="21"/>
      <c r="L346" s="21"/>
      <c r="M346" s="21"/>
    </row>
    <row r="347" spans="1:13" ht="15" customHeight="1" x14ac:dyDescent="0.25">
      <c r="A347" s="23"/>
      <c r="B347" s="18"/>
      <c r="C347" s="21"/>
      <c r="D347" s="21"/>
      <c r="E347" s="21"/>
      <c r="F347" s="21"/>
      <c r="G347" s="21"/>
      <c r="H347" s="21"/>
      <c r="I347" s="21"/>
      <c r="J347" s="21"/>
      <c r="K347" s="21"/>
      <c r="L347" s="21"/>
      <c r="M347" s="21"/>
    </row>
    <row r="348" spans="1:13" ht="15" customHeight="1" x14ac:dyDescent="0.25">
      <c r="A348" s="23"/>
      <c r="B348" s="18"/>
      <c r="C348" s="21"/>
      <c r="D348" s="21"/>
      <c r="E348" s="21"/>
      <c r="F348" s="21"/>
      <c r="G348" s="21"/>
      <c r="H348" s="21"/>
      <c r="I348" s="21"/>
      <c r="J348" s="21"/>
      <c r="K348" s="21"/>
      <c r="L348" s="21"/>
      <c r="M348" s="21"/>
    </row>
    <row r="349" spans="1:13" ht="15" customHeight="1" x14ac:dyDescent="0.25">
      <c r="A349" s="23"/>
      <c r="B349" s="18"/>
      <c r="C349" s="21"/>
      <c r="D349" s="21"/>
      <c r="E349" s="21"/>
      <c r="F349" s="21"/>
      <c r="G349" s="21"/>
      <c r="H349" s="21"/>
      <c r="I349" s="21"/>
      <c r="J349" s="21"/>
      <c r="K349" s="21"/>
      <c r="L349" s="21"/>
      <c r="M349" s="21"/>
    </row>
    <row r="350" spans="1:13" ht="15" customHeight="1" x14ac:dyDescent="0.25">
      <c r="A350" s="23"/>
      <c r="B350" s="18"/>
      <c r="C350" s="21"/>
      <c r="D350" s="21"/>
      <c r="E350" s="21"/>
      <c r="F350" s="21"/>
      <c r="G350" s="21"/>
      <c r="H350" s="21"/>
      <c r="I350" s="21"/>
      <c r="J350" s="21"/>
      <c r="K350" s="21"/>
      <c r="L350" s="21"/>
      <c r="M350" s="21"/>
    </row>
    <row r="351" spans="1:13" ht="15" customHeight="1" x14ac:dyDescent="0.25">
      <c r="A351" s="23"/>
      <c r="B351" s="18"/>
      <c r="C351" s="21"/>
      <c r="D351" s="21"/>
      <c r="E351" s="21"/>
      <c r="F351" s="21"/>
      <c r="G351" s="21"/>
      <c r="H351" s="21"/>
      <c r="I351" s="21"/>
      <c r="J351" s="21"/>
      <c r="K351" s="21"/>
      <c r="L351" s="21"/>
      <c r="M351" s="21"/>
    </row>
    <row r="352" spans="1:13" ht="15" customHeight="1" x14ac:dyDescent="0.25">
      <c r="A352" s="23"/>
      <c r="B352" s="18"/>
      <c r="C352" s="21"/>
      <c r="D352" s="21"/>
      <c r="E352" s="21"/>
      <c r="F352" s="21"/>
      <c r="G352" s="21"/>
      <c r="H352" s="21"/>
      <c r="I352" s="21"/>
      <c r="J352" s="21"/>
      <c r="K352" s="21"/>
      <c r="L352" s="21"/>
      <c r="M352" s="21"/>
    </row>
    <row r="353" spans="1:13" ht="15" customHeight="1" x14ac:dyDescent="0.25">
      <c r="A353" s="23"/>
      <c r="B353" s="18"/>
      <c r="C353" s="21"/>
      <c r="D353" s="21"/>
      <c r="E353" s="21"/>
      <c r="F353" s="21"/>
      <c r="G353" s="21"/>
      <c r="H353" s="21"/>
      <c r="I353" s="21"/>
      <c r="J353" s="21"/>
      <c r="K353" s="21"/>
      <c r="L353" s="21"/>
      <c r="M353" s="21"/>
    </row>
    <row r="354" spans="1:13" ht="15" customHeight="1" x14ac:dyDescent="0.25">
      <c r="A354" s="23"/>
      <c r="B354" s="18"/>
      <c r="C354" s="21"/>
      <c r="D354" s="21"/>
      <c r="E354" s="21"/>
      <c r="F354" s="21"/>
      <c r="G354" s="21"/>
      <c r="H354" s="21"/>
      <c r="I354" s="21"/>
      <c r="J354" s="21"/>
      <c r="K354" s="21"/>
      <c r="L354" s="21"/>
      <c r="M354" s="21"/>
    </row>
    <row r="355" spans="1:13" ht="15" customHeight="1" x14ac:dyDescent="0.25">
      <c r="A355" s="23"/>
      <c r="B355" s="18"/>
      <c r="C355" s="21"/>
      <c r="D355" s="21"/>
      <c r="E355" s="21"/>
      <c r="F355" s="21"/>
      <c r="G355" s="21"/>
      <c r="H355" s="21"/>
      <c r="I355" s="21"/>
      <c r="J355" s="21"/>
      <c r="K355" s="21"/>
      <c r="L355" s="21"/>
      <c r="M355" s="21"/>
    </row>
    <row r="356" spans="1:13" ht="15" customHeight="1" x14ac:dyDescent="0.25">
      <c r="A356" s="23"/>
      <c r="B356" s="18"/>
      <c r="C356" s="21"/>
      <c r="D356" s="21"/>
      <c r="E356" s="21"/>
      <c r="F356" s="21"/>
      <c r="G356" s="21"/>
      <c r="H356" s="21"/>
      <c r="I356" s="21"/>
      <c r="J356" s="21"/>
      <c r="K356" s="21"/>
      <c r="L356" s="21"/>
      <c r="M356" s="21"/>
    </row>
    <row r="357" spans="1:13" ht="15" customHeight="1" x14ac:dyDescent="0.25">
      <c r="A357" s="23"/>
      <c r="B357" s="18"/>
      <c r="C357" s="21"/>
      <c r="D357" s="21"/>
      <c r="E357" s="21"/>
      <c r="F357" s="21"/>
      <c r="G357" s="21"/>
      <c r="H357" s="21"/>
      <c r="I357" s="21"/>
      <c r="J357" s="21"/>
      <c r="K357" s="21"/>
      <c r="L357" s="21"/>
      <c r="M357" s="21"/>
    </row>
    <row r="358" spans="1:13" ht="15" customHeight="1" x14ac:dyDescent="0.25">
      <c r="A358" s="23"/>
      <c r="B358" s="18"/>
      <c r="C358" s="21"/>
      <c r="D358" s="21"/>
      <c r="E358" s="21"/>
      <c r="F358" s="21"/>
      <c r="G358" s="21"/>
      <c r="H358" s="21"/>
      <c r="I358" s="21"/>
      <c r="J358" s="21"/>
      <c r="K358" s="21"/>
      <c r="L358" s="21"/>
      <c r="M358" s="21"/>
    </row>
    <row r="359" spans="1:13" ht="15" customHeight="1" x14ac:dyDescent="0.25">
      <c r="A359" s="23"/>
      <c r="B359" s="18"/>
      <c r="C359" s="21"/>
      <c r="D359" s="21"/>
      <c r="E359" s="21"/>
      <c r="F359" s="21"/>
      <c r="G359" s="21"/>
      <c r="H359" s="21"/>
      <c r="I359" s="21"/>
      <c r="J359" s="21"/>
      <c r="K359" s="21"/>
      <c r="L359" s="21"/>
      <c r="M359" s="21"/>
    </row>
    <row r="360" spans="1:13" ht="15" customHeight="1" x14ac:dyDescent="0.25">
      <c r="A360" s="23"/>
      <c r="B360" s="18"/>
      <c r="C360" s="21"/>
      <c r="D360" s="21"/>
      <c r="E360" s="21"/>
      <c r="F360" s="21"/>
      <c r="G360" s="21"/>
      <c r="H360" s="21"/>
      <c r="I360" s="21"/>
      <c r="J360" s="21"/>
      <c r="K360" s="21"/>
      <c r="L360" s="21"/>
      <c r="M360" s="21"/>
    </row>
    <row r="361" spans="1:13" ht="15" customHeight="1" x14ac:dyDescent="0.25">
      <c r="A361" s="23"/>
      <c r="B361" s="18"/>
      <c r="C361" s="21"/>
      <c r="D361" s="21"/>
      <c r="E361" s="21"/>
      <c r="F361" s="21"/>
      <c r="G361" s="21"/>
      <c r="H361" s="21"/>
      <c r="I361" s="21"/>
      <c r="J361" s="21"/>
      <c r="K361" s="21"/>
      <c r="L361" s="21"/>
      <c r="M361" s="21"/>
    </row>
    <row r="362" spans="1:13" ht="15" customHeight="1" x14ac:dyDescent="0.25">
      <c r="A362" s="23"/>
      <c r="B362" s="18"/>
      <c r="C362" s="21"/>
      <c r="D362" s="21"/>
      <c r="E362" s="21"/>
      <c r="F362" s="21"/>
      <c r="G362" s="21"/>
      <c r="H362" s="21"/>
      <c r="I362" s="21"/>
      <c r="J362" s="21"/>
      <c r="K362" s="21"/>
      <c r="L362" s="21"/>
      <c r="M362" s="21"/>
    </row>
    <row r="363" spans="1:13" ht="15" customHeight="1" x14ac:dyDescent="0.25">
      <c r="A363" s="23"/>
      <c r="B363" s="18"/>
      <c r="C363" s="21"/>
      <c r="D363" s="21"/>
      <c r="E363" s="21"/>
      <c r="F363" s="21"/>
      <c r="G363" s="21"/>
      <c r="H363" s="21"/>
      <c r="I363" s="21"/>
      <c r="J363" s="21"/>
      <c r="K363" s="21"/>
      <c r="L363" s="21"/>
      <c r="M363" s="21"/>
    </row>
    <row r="364" spans="1:13" ht="15" customHeight="1" x14ac:dyDescent="0.25">
      <c r="A364" s="23"/>
      <c r="B364" s="18"/>
      <c r="C364" s="21"/>
      <c r="D364" s="21"/>
      <c r="E364" s="21"/>
      <c r="F364" s="21"/>
      <c r="G364" s="21"/>
      <c r="H364" s="21"/>
      <c r="I364" s="21"/>
      <c r="J364" s="21"/>
      <c r="K364" s="21"/>
      <c r="L364" s="21"/>
      <c r="M364" s="21"/>
    </row>
    <row r="365" spans="1:13" ht="15" customHeight="1" x14ac:dyDescent="0.25">
      <c r="A365" s="23"/>
      <c r="B365" s="18"/>
      <c r="C365" s="21"/>
      <c r="D365" s="21"/>
      <c r="E365" s="21"/>
      <c r="F365" s="21"/>
      <c r="G365" s="21"/>
      <c r="H365" s="21"/>
      <c r="I365" s="21"/>
      <c r="J365" s="21"/>
      <c r="K365" s="21"/>
      <c r="L365" s="21"/>
      <c r="M365" s="21"/>
    </row>
    <row r="366" spans="1:13" ht="15" customHeight="1" x14ac:dyDescent="0.25">
      <c r="A366" s="23"/>
      <c r="B366" s="18"/>
      <c r="C366" s="21"/>
      <c r="D366" s="21"/>
      <c r="E366" s="21"/>
      <c r="F366" s="21"/>
      <c r="G366" s="21"/>
      <c r="H366" s="21"/>
      <c r="I366" s="21"/>
      <c r="J366" s="21"/>
      <c r="K366" s="21"/>
      <c r="L366" s="21"/>
      <c r="M366" s="21"/>
    </row>
    <row r="367" spans="1:13" ht="15" customHeight="1" x14ac:dyDescent="0.25">
      <c r="A367" s="23"/>
      <c r="B367" s="18"/>
      <c r="C367" s="21"/>
      <c r="D367" s="21"/>
      <c r="E367" s="21"/>
      <c r="F367" s="21"/>
      <c r="G367" s="21"/>
      <c r="H367" s="21"/>
      <c r="I367" s="21"/>
      <c r="J367" s="21"/>
      <c r="K367" s="21"/>
      <c r="L367" s="21"/>
      <c r="M367" s="21"/>
    </row>
    <row r="368" spans="1:13" ht="15" customHeight="1" x14ac:dyDescent="0.25">
      <c r="A368" s="23"/>
      <c r="B368" s="18"/>
      <c r="C368" s="21"/>
      <c r="D368" s="21"/>
      <c r="E368" s="21"/>
      <c r="F368" s="21"/>
      <c r="G368" s="21"/>
      <c r="H368" s="21"/>
      <c r="I368" s="21"/>
      <c r="J368" s="21"/>
      <c r="K368" s="21"/>
      <c r="L368" s="21"/>
      <c r="M368" s="21"/>
    </row>
    <row r="369" spans="1:13" ht="15" customHeight="1" x14ac:dyDescent="0.25">
      <c r="A369" s="23"/>
      <c r="B369" s="18"/>
      <c r="C369" s="21"/>
      <c r="D369" s="21"/>
      <c r="E369" s="21"/>
      <c r="F369" s="21"/>
      <c r="G369" s="21"/>
      <c r="H369" s="21"/>
      <c r="I369" s="21"/>
      <c r="J369" s="21"/>
      <c r="K369" s="21"/>
      <c r="L369" s="21"/>
      <c r="M369" s="21"/>
    </row>
    <row r="370" spans="1:13" ht="15" customHeight="1" x14ac:dyDescent="0.25">
      <c r="A370" s="23"/>
      <c r="B370" s="18"/>
      <c r="C370" s="21"/>
      <c r="D370" s="21"/>
      <c r="E370" s="21"/>
      <c r="F370" s="21"/>
      <c r="G370" s="21"/>
      <c r="H370" s="21"/>
      <c r="I370" s="21"/>
      <c r="J370" s="21"/>
      <c r="K370" s="21"/>
      <c r="L370" s="21"/>
      <c r="M370" s="21"/>
    </row>
    <row r="371" spans="1:13" ht="15" customHeight="1" x14ac:dyDescent="0.25">
      <c r="A371" s="23"/>
      <c r="B371" s="18"/>
      <c r="C371" s="21"/>
      <c r="D371" s="21"/>
      <c r="E371" s="21"/>
      <c r="F371" s="21"/>
      <c r="G371" s="21"/>
      <c r="H371" s="21"/>
      <c r="I371" s="21"/>
      <c r="J371" s="21"/>
      <c r="K371" s="21"/>
      <c r="L371" s="21"/>
      <c r="M371" s="21"/>
    </row>
    <row r="372" spans="1:13" ht="15" customHeight="1" x14ac:dyDescent="0.25">
      <c r="A372" s="23"/>
      <c r="B372" s="18"/>
      <c r="C372" s="21"/>
      <c r="D372" s="21"/>
      <c r="E372" s="21"/>
      <c r="F372" s="21"/>
      <c r="G372" s="21"/>
      <c r="H372" s="21"/>
      <c r="I372" s="21"/>
      <c r="J372" s="21"/>
      <c r="K372" s="21"/>
      <c r="L372" s="21"/>
      <c r="M372" s="21"/>
    </row>
    <row r="373" spans="1:13" ht="15" customHeight="1" x14ac:dyDescent="0.25">
      <c r="A373" s="23"/>
      <c r="B373" s="18"/>
      <c r="C373" s="21"/>
      <c r="D373" s="21"/>
      <c r="E373" s="21"/>
      <c r="F373" s="21"/>
      <c r="G373" s="21"/>
      <c r="H373" s="21"/>
      <c r="I373" s="21"/>
      <c r="J373" s="21"/>
      <c r="K373" s="21"/>
      <c r="L373" s="21"/>
      <c r="M373" s="21"/>
    </row>
    <row r="374" spans="1:13" ht="15" customHeight="1" x14ac:dyDescent="0.25">
      <c r="A374" s="23"/>
      <c r="B374" s="18"/>
      <c r="C374" s="21"/>
      <c r="D374" s="21"/>
      <c r="E374" s="21"/>
      <c r="F374" s="21"/>
      <c r="G374" s="21"/>
      <c r="H374" s="21"/>
      <c r="I374" s="21"/>
      <c r="J374" s="21"/>
      <c r="K374" s="21"/>
      <c r="L374" s="21"/>
      <c r="M374" s="21"/>
    </row>
    <row r="375" spans="1:13" ht="15" customHeight="1" x14ac:dyDescent="0.25">
      <c r="A375" s="23"/>
      <c r="B375" s="18"/>
      <c r="C375" s="21"/>
      <c r="D375" s="21"/>
      <c r="E375" s="21"/>
      <c r="F375" s="21"/>
      <c r="G375" s="21"/>
      <c r="H375" s="21"/>
      <c r="I375" s="21"/>
      <c r="J375" s="21"/>
      <c r="K375" s="21"/>
      <c r="L375" s="21"/>
      <c r="M375" s="21"/>
    </row>
    <row r="376" spans="1:13" ht="15" customHeight="1" x14ac:dyDescent="0.25">
      <c r="A376" s="23"/>
      <c r="B376" s="18"/>
      <c r="C376" s="21"/>
      <c r="D376" s="21"/>
      <c r="E376" s="21"/>
      <c r="F376" s="21"/>
      <c r="G376" s="21"/>
      <c r="H376" s="21"/>
      <c r="I376" s="21"/>
      <c r="J376" s="21"/>
      <c r="K376" s="21"/>
      <c r="L376" s="21"/>
      <c r="M376" s="21"/>
    </row>
    <row r="377" spans="1:13" ht="15" customHeight="1" x14ac:dyDescent="0.25">
      <c r="A377" s="23"/>
      <c r="B377" s="18"/>
      <c r="C377" s="21"/>
      <c r="D377" s="21"/>
      <c r="E377" s="21"/>
      <c r="F377" s="21"/>
      <c r="G377" s="21"/>
      <c r="H377" s="21"/>
      <c r="I377" s="21"/>
      <c r="J377" s="21"/>
      <c r="K377" s="21"/>
      <c r="L377" s="21"/>
      <c r="M377" s="21"/>
    </row>
    <row r="378" spans="1:13" ht="15" customHeight="1" x14ac:dyDescent="0.25">
      <c r="A378" s="23"/>
      <c r="B378" s="18"/>
      <c r="C378" s="21"/>
      <c r="D378" s="21"/>
      <c r="E378" s="21"/>
      <c r="F378" s="21"/>
      <c r="G378" s="21"/>
      <c r="H378" s="21"/>
      <c r="I378" s="21"/>
      <c r="J378" s="21"/>
      <c r="K378" s="21"/>
      <c r="L378" s="21"/>
      <c r="M378" s="21"/>
    </row>
    <row r="379" spans="1:13" ht="15" customHeight="1" x14ac:dyDescent="0.25">
      <c r="A379" s="23"/>
      <c r="B379" s="18"/>
      <c r="C379" s="21"/>
      <c r="D379" s="21"/>
      <c r="E379" s="21"/>
      <c r="F379" s="21"/>
      <c r="G379" s="21"/>
      <c r="H379" s="21"/>
      <c r="I379" s="21"/>
      <c r="J379" s="21"/>
      <c r="K379" s="21"/>
      <c r="L379" s="21"/>
      <c r="M379" s="21"/>
    </row>
    <row r="380" spans="1:13" ht="15" customHeight="1" x14ac:dyDescent="0.25">
      <c r="A380" s="23"/>
      <c r="B380" s="18"/>
      <c r="C380" s="21"/>
      <c r="D380" s="21"/>
      <c r="E380" s="21"/>
      <c r="F380" s="21"/>
      <c r="G380" s="21"/>
      <c r="H380" s="21"/>
      <c r="I380" s="21"/>
      <c r="J380" s="21"/>
      <c r="K380" s="21"/>
      <c r="L380" s="21"/>
      <c r="M380" s="21"/>
    </row>
    <row r="381" spans="1:13" ht="15" customHeight="1" x14ac:dyDescent="0.25">
      <c r="A381" s="23"/>
      <c r="B381" s="18"/>
      <c r="C381" s="21"/>
      <c r="D381" s="21"/>
      <c r="E381" s="21"/>
      <c r="F381" s="21"/>
      <c r="G381" s="21"/>
      <c r="H381" s="21"/>
      <c r="I381" s="21"/>
      <c r="J381" s="21"/>
      <c r="K381" s="21"/>
      <c r="L381" s="21"/>
      <c r="M381" s="21"/>
    </row>
    <row r="382" spans="1:13" ht="15" customHeight="1" x14ac:dyDescent="0.25">
      <c r="A382" s="23"/>
      <c r="B382" s="18"/>
      <c r="C382" s="21"/>
      <c r="D382" s="21"/>
      <c r="E382" s="21"/>
      <c r="F382" s="21"/>
      <c r="G382" s="21"/>
      <c r="H382" s="21"/>
      <c r="I382" s="21"/>
      <c r="J382" s="21"/>
      <c r="K382" s="21"/>
      <c r="L382" s="21"/>
      <c r="M382" s="21"/>
    </row>
    <row r="383" spans="1:13" ht="15" customHeight="1" x14ac:dyDescent="0.25">
      <c r="A383" s="23"/>
      <c r="B383" s="18"/>
      <c r="C383" s="21"/>
      <c r="D383" s="21"/>
      <c r="E383" s="21"/>
      <c r="F383" s="21"/>
      <c r="G383" s="21"/>
      <c r="H383" s="21"/>
      <c r="I383" s="21"/>
      <c r="J383" s="21"/>
      <c r="K383" s="21"/>
      <c r="L383" s="21"/>
      <c r="M383" s="21"/>
    </row>
    <row r="384" spans="1:13" ht="15" customHeight="1" x14ac:dyDescent="0.25">
      <c r="A384" s="23"/>
      <c r="B384" s="18"/>
      <c r="C384" s="21"/>
      <c r="D384" s="21"/>
      <c r="E384" s="21"/>
      <c r="F384" s="21"/>
      <c r="G384" s="21"/>
      <c r="H384" s="21"/>
      <c r="I384" s="21"/>
      <c r="J384" s="21"/>
      <c r="K384" s="21"/>
      <c r="L384" s="21"/>
      <c r="M384" s="21"/>
    </row>
    <row r="385" spans="1:13" ht="15" customHeight="1" x14ac:dyDescent="0.25">
      <c r="A385" s="23"/>
      <c r="B385" s="18"/>
      <c r="C385" s="21"/>
      <c r="D385" s="21"/>
      <c r="E385" s="21"/>
      <c r="F385" s="21"/>
      <c r="G385" s="21"/>
      <c r="H385" s="21"/>
      <c r="I385" s="21"/>
      <c r="J385" s="21"/>
      <c r="K385" s="21"/>
      <c r="L385" s="21"/>
      <c r="M385" s="21"/>
    </row>
    <row r="386" spans="1:13" ht="15" customHeight="1" x14ac:dyDescent="0.25">
      <c r="A386" s="23"/>
      <c r="B386" s="18"/>
      <c r="C386" s="21"/>
      <c r="D386" s="21"/>
      <c r="E386" s="21"/>
      <c r="F386" s="21"/>
      <c r="G386" s="21"/>
      <c r="H386" s="21"/>
      <c r="I386" s="21"/>
      <c r="J386" s="21"/>
      <c r="K386" s="21"/>
      <c r="L386" s="21"/>
      <c r="M386" s="21"/>
    </row>
    <row r="387" spans="1:13" ht="15" customHeight="1" x14ac:dyDescent="0.25">
      <c r="A387" s="23"/>
      <c r="B387" s="18"/>
      <c r="C387" s="21"/>
      <c r="D387" s="21"/>
      <c r="E387" s="21"/>
      <c r="F387" s="21"/>
      <c r="G387" s="21"/>
      <c r="H387" s="21"/>
      <c r="I387" s="21"/>
      <c r="J387" s="21"/>
      <c r="K387" s="21"/>
      <c r="L387" s="21"/>
      <c r="M387" s="21"/>
    </row>
    <row r="388" spans="1:13" ht="15" customHeight="1" x14ac:dyDescent="0.25">
      <c r="A388" s="23"/>
      <c r="B388" s="18"/>
      <c r="C388" s="21"/>
      <c r="D388" s="21"/>
      <c r="E388" s="21"/>
      <c r="F388" s="21"/>
      <c r="G388" s="21"/>
      <c r="H388" s="21"/>
      <c r="I388" s="21"/>
      <c r="J388" s="21"/>
      <c r="K388" s="21"/>
      <c r="L388" s="21"/>
      <c r="M388" s="21"/>
    </row>
    <row r="389" spans="1:13" ht="15" customHeight="1" x14ac:dyDescent="0.25">
      <c r="A389" s="23"/>
      <c r="B389" s="18"/>
      <c r="C389" s="21"/>
      <c r="D389" s="21"/>
      <c r="E389" s="21"/>
      <c r="F389" s="21"/>
      <c r="G389" s="21"/>
      <c r="H389" s="21"/>
      <c r="I389" s="21"/>
      <c r="J389" s="21"/>
      <c r="K389" s="21"/>
      <c r="L389" s="21"/>
      <c r="M389" s="21"/>
    </row>
    <row r="390" spans="1:13" ht="15" customHeight="1" x14ac:dyDescent="0.25">
      <c r="A390" s="23"/>
      <c r="B390" s="18"/>
      <c r="C390" s="21"/>
      <c r="D390" s="21"/>
      <c r="E390" s="21"/>
      <c r="F390" s="21"/>
      <c r="G390" s="21"/>
      <c r="H390" s="21"/>
      <c r="I390" s="21"/>
      <c r="J390" s="21"/>
      <c r="K390" s="21"/>
      <c r="L390" s="21"/>
      <c r="M390" s="21"/>
    </row>
    <row r="391" spans="1:13" ht="15" customHeight="1" x14ac:dyDescent="0.25">
      <c r="A391" s="23"/>
      <c r="B391" s="18"/>
      <c r="C391" s="21"/>
      <c r="D391" s="21"/>
      <c r="E391" s="21"/>
      <c r="F391" s="21"/>
      <c r="G391" s="21"/>
      <c r="H391" s="21"/>
      <c r="I391" s="21"/>
      <c r="J391" s="21"/>
      <c r="K391" s="21"/>
      <c r="L391" s="21"/>
      <c r="M391" s="21"/>
    </row>
    <row r="392" spans="1:13" ht="15" customHeight="1" x14ac:dyDescent="0.25">
      <c r="A392" s="23"/>
      <c r="B392" s="18"/>
      <c r="C392" s="21"/>
      <c r="D392" s="21"/>
      <c r="E392" s="21"/>
      <c r="F392" s="21"/>
      <c r="G392" s="21"/>
      <c r="H392" s="21"/>
      <c r="I392" s="21"/>
      <c r="J392" s="21"/>
      <c r="K392" s="21"/>
      <c r="L392" s="21"/>
      <c r="M392" s="21"/>
    </row>
    <row r="393" spans="1:13" ht="15" customHeight="1" x14ac:dyDescent="0.25">
      <c r="A393" s="23"/>
      <c r="B393" s="18"/>
      <c r="C393" s="21"/>
      <c r="D393" s="21"/>
      <c r="E393" s="21"/>
      <c r="F393" s="21"/>
      <c r="G393" s="21"/>
      <c r="H393" s="21"/>
      <c r="I393" s="21"/>
      <c r="J393" s="21"/>
      <c r="K393" s="21"/>
      <c r="L393" s="21"/>
      <c r="M393" s="21"/>
    </row>
    <row r="394" spans="1:13" ht="15" customHeight="1" x14ac:dyDescent="0.25">
      <c r="A394" s="23"/>
      <c r="B394" s="18"/>
      <c r="C394" s="21"/>
      <c r="D394" s="21"/>
      <c r="E394" s="21"/>
      <c r="F394" s="21"/>
      <c r="G394" s="21"/>
      <c r="H394" s="21"/>
      <c r="I394" s="21"/>
      <c r="J394" s="21"/>
      <c r="K394" s="21"/>
      <c r="L394" s="21"/>
      <c r="M394" s="21"/>
    </row>
    <row r="395" spans="1:13" ht="15" customHeight="1" x14ac:dyDescent="0.25">
      <c r="A395" s="23"/>
      <c r="B395" s="18"/>
      <c r="C395" s="21"/>
      <c r="D395" s="21"/>
      <c r="E395" s="21"/>
      <c r="F395" s="21"/>
      <c r="G395" s="21"/>
      <c r="H395" s="21"/>
      <c r="I395" s="21"/>
      <c r="J395" s="21"/>
      <c r="K395" s="21"/>
      <c r="L395" s="21"/>
      <c r="M395" s="21"/>
    </row>
    <row r="396" spans="1:13" ht="15" customHeight="1" x14ac:dyDescent="0.25">
      <c r="A396" s="23"/>
      <c r="B396" s="18"/>
      <c r="C396" s="21"/>
      <c r="D396" s="21"/>
      <c r="E396" s="21"/>
      <c r="F396" s="21"/>
      <c r="G396" s="21"/>
      <c r="H396" s="21"/>
      <c r="I396" s="21"/>
      <c r="J396" s="21"/>
      <c r="K396" s="21"/>
      <c r="L396" s="21"/>
      <c r="M396" s="21"/>
    </row>
    <row r="397" spans="1:13" ht="15" customHeight="1" x14ac:dyDescent="0.25">
      <c r="A397" s="23"/>
      <c r="B397" s="18"/>
      <c r="C397" s="21"/>
      <c r="D397" s="21"/>
      <c r="E397" s="21"/>
      <c r="F397" s="21"/>
      <c r="G397" s="21"/>
      <c r="H397" s="21"/>
      <c r="I397" s="21"/>
      <c r="J397" s="21"/>
      <c r="K397" s="21"/>
      <c r="L397" s="21"/>
      <c r="M397" s="21"/>
    </row>
    <row r="398" spans="1:13" ht="15" customHeight="1" x14ac:dyDescent="0.25">
      <c r="A398" s="23"/>
      <c r="B398" s="18"/>
      <c r="C398" s="21"/>
      <c r="D398" s="21"/>
      <c r="E398" s="21"/>
      <c r="F398" s="21"/>
      <c r="G398" s="21"/>
      <c r="H398" s="21"/>
      <c r="I398" s="21"/>
      <c r="J398" s="21"/>
      <c r="K398" s="21"/>
      <c r="L398" s="21"/>
      <c r="M398" s="21"/>
    </row>
    <row r="399" spans="1:13" ht="15" customHeight="1" x14ac:dyDescent="0.25">
      <c r="A399" s="23"/>
      <c r="B399" s="18"/>
      <c r="C399" s="21"/>
      <c r="D399" s="21"/>
      <c r="E399" s="21"/>
      <c r="F399" s="21"/>
      <c r="G399" s="21"/>
      <c r="H399" s="21"/>
      <c r="I399" s="21"/>
      <c r="J399" s="21"/>
      <c r="K399" s="21"/>
      <c r="L399" s="21"/>
      <c r="M399" s="21"/>
    </row>
  </sheetData>
  <autoFilter ref="A19:M24" xr:uid="{00000000-0009-0000-0000-000000000000}"/>
  <mergeCells count="20">
    <mergeCell ref="A15:B15"/>
    <mergeCell ref="C15:M15"/>
    <mergeCell ref="A16:B16"/>
    <mergeCell ref="C16:M16"/>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20:B399">
    <cfRule type="cellIs" dxfId="21" priority="2" operator="equal">
      <formula>"Başarılı"</formula>
    </cfRule>
    <cfRule type="cellIs" dxfId="20" priority="3" operator="equal">
      <formula>"Başarısız"</formula>
    </cfRule>
    <cfRule type="cellIs" dxfId="19" priority="4" operator="equal">
      <formula>"Test Ediliyor"</formula>
    </cfRule>
    <cfRule type="cellIs" dxfId="18" priority="5" operator="equal">
      <formula>"Bloke"</formula>
    </cfRule>
    <cfRule type="cellIs" dxfId="19" priority="7" operator="equal">
      <formula>"Kısmen"</formula>
    </cfRule>
  </conditionalFormatting>
  <conditionalFormatting sqref="K20:K399">
    <cfRule type="cellIs" dxfId="17" priority="6" operator="equal">
      <formula>"Yüksek"</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000-000000000000}">
          <x14:formula1>
            <xm:f>Listeler!$A$2:$A$10</xm:f>
          </x14:formula1>
          <x14:formula2>
            <xm:f>0</xm:f>
          </x14:formula2>
          <xm:sqref>B20:B400</xm:sqref>
        </x14:dataValidation>
        <x14:dataValidation type="list" allowBlank="1" xr:uid="{00000000-0002-0000-0000-000001000000}">
          <x14:formula1>
            <xm:f>Listeler!$B$2:$B$10</xm:f>
          </x14:formula1>
          <x14:formula2>
            <xm:f>0</xm:f>
          </x14:formula2>
          <xm:sqref>J20:J400</xm:sqref>
        </x14:dataValidation>
        <x14:dataValidation type="list" allowBlank="1" xr:uid="{00000000-0002-0000-0000-000002000000}">
          <x14:formula1>
            <xm:f>Listeler!$C$2:$C$10</xm:f>
          </x14:formula1>
          <x14:formula2>
            <xm:f>0</xm:f>
          </x14:formula2>
          <xm:sqref>K20:K400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5"/>
  <sheetViews>
    <sheetView showGridLines="0" tabSelected="1" topLeftCell="A70" zoomScaleNormal="100" workbookViewId="0">
      <selection activeCell="F75" sqref="F75"/>
    </sheetView>
  </sheetViews>
  <sheetFormatPr defaultColWidth="8.7109375" defaultRowHeight="15" x14ac:dyDescent="0.25"/>
  <cols>
    <col min="1" max="1" width="13" customWidth="1"/>
    <col min="2" max="2" width="14" customWidth="1"/>
    <col min="3" max="3" width="24" customWidth="1"/>
    <col min="4" max="5" width="34" customWidth="1"/>
    <col min="6" max="6" width="54" customWidth="1"/>
    <col min="7" max="7" width="48" customWidth="1"/>
    <col min="8" max="8" width="30" customWidth="1"/>
    <col min="9" max="9" width="36" customWidth="1"/>
    <col min="10" max="10" width="13" customWidth="1"/>
    <col min="11" max="11" width="10" customWidth="1"/>
    <col min="12" max="12" width="56" customWidth="1"/>
    <col min="13" max="13" width="14" customWidth="1"/>
  </cols>
  <sheetData>
    <row r="1" spans="1:13" ht="21.75" customHeight="1" x14ac:dyDescent="0.25">
      <c r="A1" s="6" t="s">
        <v>0</v>
      </c>
      <c r="B1" s="6"/>
      <c r="C1" s="9" t="s">
        <v>1</v>
      </c>
      <c r="D1" s="10" t="s">
        <v>2</v>
      </c>
      <c r="E1" s="9" t="s">
        <v>3</v>
      </c>
      <c r="F1" s="11"/>
      <c r="G1" s="12" t="s">
        <v>4</v>
      </c>
      <c r="I1" s="12" t="inlineStr">
        <is>
          <t xml:space="preserve">Diğer Sonuçlar</t>
        </is>
      </c>
    </row>
    <row r="2" spans="1:13" ht="21.75" customHeight="1" x14ac:dyDescent="0.25">
      <c r="A2" s="6"/>
      <c r="B2" s="6"/>
      <c r="C2" s="9" t="s">
        <v>5</v>
      </c>
      <c r="D2" s="10" t="inlineStr">
        <is>
          <t xml:space="preserve">Arbitraj</t>
        </is>
      </c>
      <c r="E2" s="9" t="s">
        <v>7</v>
      </c>
      <c r="F2" s="11"/>
      <c r="G2" s="9" t="s">
        <v>8</v>
      </c>
      <c r="H2" s="13">
        <f>COUNTA($A$19:$A$400)</f>
        <v>47</v>
      </c>
      <c r="I2" s="9" t="inlineStr">
        <is>
          <t xml:space="preserve">Test Edilmedi</t>
        </is>
      </c>
      <c r="J2" s="13">
        <f>COUNTIF($B$19:$B$400,"Test Edilmedi")</f>
        <v>31</v>
      </c>
      <c r="K2" s="9" t="inlineStr">
        <is>
          <t xml:space="preserve">Bloke</t>
        </is>
      </c>
      <c r="L2" s="13">
        <f>COUNTIF($B$19:$B$400,"Bloke")</f>
        <v>0</v>
      </c>
    </row>
    <row r="3" spans="1:13" ht="21.75" customHeight="1" x14ac:dyDescent="0.25">
      <c r="A3" s="6"/>
      <c r="B3" s="6"/>
      <c r="C3" s="9" t="s">
        <v>9</v>
      </c>
      <c r="D3" s="10" t="inlineStr">
        <is>
          <t xml:space="preserve">Sanity ve genişletilmiş senaryolar</t>
        </is>
      </c>
      <c r="E3" s="9" t="s">
        <v>11</v>
      </c>
      <c r="F3" s="11"/>
      <c r="G3" s="9" t="s">
        <v>12</v>
      </c>
      <c r="H3" s="13">
        <f>COUNTIF($B$19:$B$400,"Başarılı")</f>
        <v>10</v>
      </c>
      <c r="I3" s="9" t="inlineStr">
        <is>
          <t xml:space="preserve">Test Ediliyor</t>
        </is>
      </c>
      <c r="J3" s="13">
        <f>COUNTIF($B$19:$B$400,"Test Ediliyor")</f>
        <v>1</v>
      </c>
      <c r="K3" s="9" t="inlineStr">
        <is>
          <t xml:space="preserve">Sonuçsuz</t>
        </is>
      </c>
      <c r="L3" s="13">
        <f>COUNTBLANK($B$19:$B$65)</f>
        <v>0</v>
      </c>
    </row>
    <row r="4" spans="1:13" ht="21.75" customHeight="1" x14ac:dyDescent="0.25">
      <c r="A4" s="6"/>
      <c r="B4" s="6"/>
      <c r="C4" s="9" t="inlineStr">
        <is>
          <t xml:space="preserve">Doküman Sürümü:</t>
        </is>
      </c>
      <c r="D4" s="10" t="inlineStr">
        <is>
          <t xml:space="preserve">3.0</t>
        </is>
      </c>
      <c r="E4" s="9" t="s">
        <v>15</v>
      </c>
      <c r="F4" s="11"/>
      <c r="G4" s="9" t="s">
        <v>16</v>
      </c>
      <c r="H4" s="13">
        <f>COUNTIF($B$19:$B$400,"Başarısız")</f>
        <v>0</v>
      </c>
      <c r="I4" s="9" t="inlineStr">
        <is>
          <t xml:space="preserve">Kısmen</t>
        </is>
      </c>
      <c r="J4" s="13">
        <f>COUNTIF($B$19:$B$400,"Kısmen")</f>
        <v>5</v>
      </c>
    </row>
    <row r="6" spans="1:13" ht="42" customHeight="1" x14ac:dyDescent="0.25">
      <c r="A6" s="5" t="s">
        <v>17</v>
      </c>
      <c r="B6" s="5"/>
      <c r="C6" s="4" t="inlineStr">
        <is>
          <t xml:space="preserve">Genel sayfasındaki G01–G05 kontrollerini tamamlayın. RA aşağıdaki örnek ayar setidir. Her testten önce gereken pozisyonu, açık emirleri ve fiyat koşulunu hazırlayın. Önceki senaryoya bağlı testlerde ilgili test kimliğini takip edin.</t>
        </is>
      </c>
      <c r="D6" s="4"/>
      <c r="E6" s="4"/>
      <c r="F6" s="4"/>
      <c r="G6" s="4"/>
      <c r="H6" s="4"/>
    </row>
    <row r="7" spans="1:13" ht="25.5" customHeight="1" x14ac:dyDescent="0.25">
      <c r="A7" s="5" t="inlineStr">
        <is>
          <t xml:space="preserve">Test seçimi:</t>
        </is>
      </c>
      <c r="B7" s="5"/>
      <c r="C7" s="4" t="inlineStr">
        <is>
          <t xml:space="preserve">5 ön koşuldan sonra Arbitraj Senaryoları sayfasında Ana sanity filtresini kullanın: 32 kontrol. Genişletilmiş kapsamda 15 kontrol vardır. Üst özetler sayfanın tüm kayıtlarını gösterir.</t>
        </is>
      </c>
      <c r="D7" s="4"/>
      <c r="E7" s="4"/>
      <c r="F7" s="4"/>
      <c r="G7" s="4"/>
      <c r="H7" s="4"/>
    </row>
    <row r="8" spans="1:13" ht="45" customHeight="1" x14ac:dyDescent="0.25">
      <c r="A8" s="5" t="inlineStr">
        <is>
          <t xml:space="preserve">Kayıt düzeni:</t>
        </is>
      </c>
      <c r="B8" s="5"/>
      <c r="C8" s="4" t="inlineStr">
        <is>
          <t xml:space="preserve">Sonuçlar önceki test kayıtlarıdır; bu revizyonda test yapılmadı. Yeni koşuda tarih, kişi, uygulama sürümü ve ortamı kaydedin. Önceki sonucu yeni adımların sonucu saymayın; kısmen tamamlanan adımları Not alanında belirtin.</t>
        </is>
      </c>
      <c r="D8" s="4"/>
      <c r="E8" s="4"/>
      <c r="F8" s="4"/>
      <c r="G8" s="4"/>
      <c r="H8" s="4"/>
    </row>
    <row r="10" spans="1:13" x14ac:dyDescent="0.25" ht="22.5" customHeight="1">
      <c r="A10" s="3" t="s">
        <v>23</v>
      </c>
      <c r="B10" s="3"/>
      <c r="C10" s="3"/>
      <c r="D10" s="3"/>
      <c r="E10" s="3"/>
      <c r="F10" s="3"/>
      <c r="G10" s="3"/>
      <c r="H10" s="3"/>
      <c r="I10" s="3"/>
      <c r="J10" s="3"/>
      <c r="K10" s="3"/>
      <c r="L10" s="3"/>
      <c r="M10" s="3"/>
    </row>
    <row r="11" spans="1:13" ht="37.5" customHeight="1" x14ac:dyDescent="0.25">
      <c r="A11" s="2" t="s">
        <v>93</v>
      </c>
      <c r="B11" s="2"/>
      <c r="C11" s="1" t="s">
        <v>94</v>
      </c>
      <c r="D11" s="1"/>
      <c r="E11" s="1"/>
      <c r="F11" s="1"/>
      <c r="G11" s="1"/>
      <c r="H11" s="1"/>
      <c r="I11" s="1"/>
      <c r="J11" s="1"/>
      <c r="K11" s="1"/>
      <c r="L11" s="1"/>
      <c r="M11" s="1"/>
    </row>
    <row r="12" spans="1:13" ht="30" customHeight="1" x14ac:dyDescent="0.25">
      <c r="A12" s="2" t="s">
        <v>95</v>
      </c>
      <c r="B12" s="2"/>
      <c r="C12" s="1" t="s">
        <v>96</v>
      </c>
      <c r="D12" s="1"/>
      <c r="E12" s="1"/>
      <c r="F12" s="1"/>
      <c r="G12" s="1"/>
      <c r="H12" s="1"/>
      <c r="I12" s="1"/>
      <c r="J12" s="1"/>
      <c r="K12" s="1"/>
      <c r="L12" s="1"/>
      <c r="M12" s="1"/>
    </row>
    <row r="13" spans="1:13" ht="30" customHeight="1" x14ac:dyDescent="0.25">
      <c r="A13" s="2" t="s">
        <v>97</v>
      </c>
      <c r="B13" s="2"/>
      <c r="C13" s="1" t="s">
        <v>98</v>
      </c>
      <c r="D13" s="1"/>
      <c r="E13" s="1"/>
      <c r="F13" s="1"/>
      <c r="G13" s="1"/>
      <c r="H13" s="1"/>
      <c r="I13" s="1"/>
      <c r="J13" s="1"/>
      <c r="K13" s="1"/>
      <c r="L13" s="1"/>
      <c r="M13" s="1"/>
    </row>
    <row r="14" spans="1:13" ht="37.5" customHeight="1" x14ac:dyDescent="0.25">
      <c r="A14" s="2" t="s">
        <v>99</v>
      </c>
      <c r="B14" s="2"/>
      <c r="C14" s="1" t="inlineStr">
        <is>
          <t xml:space="preserve">Takip tablosu, Arbitraj Hareketleri, Paket Hareketleri, Pasif Emirler ve Emir Geçmişi birlikte kullanılır. Emir gönderilmesi, gerçekleşmesi ve pozisyon güncellemesi ayrı ayrı kontrol edilir.</t>
        </is>
      </c>
      <c r="D14" s="1"/>
      <c r="E14" s="1"/>
      <c r="F14" s="1"/>
      <c r="G14" s="1"/>
      <c r="H14" s="1"/>
      <c r="I14" s="1"/>
      <c r="J14" s="1"/>
      <c r="K14" s="1"/>
      <c r="L14" s="1"/>
      <c r="M14" s="1"/>
    </row>
    <row r="15" spans="1:13" ht="30" customHeight="1" x14ac:dyDescent="0.25">
      <c r="A15" s="2" t="inlineStr">
        <is>
          <t xml:space="preserve">Test verisi</t>
        </is>
      </c>
      <c r="B15" s="2"/>
      <c r="C15" s="1" t="inlineStr">
        <is>
          <t xml:space="preserve">Not alanına hesap, çift, vade, başlangıç pozisyonu, açık emirler, referans fiyatlar ve RA değişikliklerini yazın. Fiyat/gerçekleşme koşulu hazırlanamazsa Bloke seçin. Her senaryo sonunda emir, paket ve pozisyonları kontrol edin.</t>
        </is>
      </c>
      <c r="D15" s="1"/>
      <c r="E15" s="1"/>
      <c r="F15" s="1"/>
      <c r="G15" s="1"/>
      <c r="H15" s="1"/>
      <c r="I15" s="1"/>
      <c r="J15" s="1"/>
      <c r="K15" s="1"/>
      <c r="L15" s="1"/>
      <c r="M15" s="1"/>
    </row>
    <row r="18" spans="1:13" ht="25.5" customHeight="1" x14ac:dyDescent="0.25">
      <c r="A18" s="16" t="s">
        <v>36</v>
      </c>
      <c r="B18" s="16" t="s">
        <v>37</v>
      </c>
      <c r="C18" s="16" t="inlineStr">
        <is>
          <t xml:space="preserve">Test Kapsamı</t>
        </is>
      </c>
      <c r="D18" s="16" t="s">
        <v>39</v>
      </c>
      <c r="E18" s="16" t="s">
        <v>40</v>
      </c>
      <c r="F18" s="16" t="s">
        <v>41</v>
      </c>
      <c r="G18" s="16" t="s">
        <v>42</v>
      </c>
      <c r="H18" s="16" t="s">
        <v>43</v>
      </c>
      <c r="I18" s="16" t="inlineStr">
        <is>
          <t xml:space="preserve">Kontrol Edilecek Ekran</t>
        </is>
      </c>
      <c r="J18" s="16" t="s">
        <v>45</v>
      </c>
      <c r="K18" s="16" t="s">
        <v>46</v>
      </c>
      <c r="L18" s="16" t="inlineStr">
        <is>
          <t xml:space="preserve">Not / Test Kaydı</t>
        </is>
      </c>
      <c r="M18" s="16" t="s">
        <v>48</v>
      </c>
    </row>
    <row r="19" spans="1:13" x14ac:dyDescent="0.25" ht="112.0" customHeight="1">
      <c r="A19" s="17" t="inlineStr">
        <is>
          <t xml:space="preserve">TC-ARB-A01</t>
        </is>
      </c>
      <c r="B19" s="18" t="inlineStr">
        <is>
          <t xml:space="preserve">Başarılı</t>
        </is>
      </c>
      <c r="C19" s="19" t="inlineStr">
        <is>
          <t xml:space="preserve">Ana sanity</t>
        </is>
      </c>
      <c r="D19" s="19" t="inlineStr">
        <is>
          <t xml:space="preserve">Pasif açılış emrinin doğru fiyattan tahtaya konması</t>
        </is>
      </c>
      <c r="E19" s="20" t="inlineStr">
        <is>
          <t xml:space="preserve">RA. Strateji duruyor, çiftte açık pozisyon yok. Referans değerler (spot ve vadeli en iyi fiyatlar, V.K.G., fiyat adımı) not edilmiş.</t>
        </is>
      </c>
      <c r="F19" s="20" t="inlineStr">
        <is>
          <t xml:space="preserve">1. RA ayarlarını kaydedin. Spot/vadeli fiyatları ve bu çift için önceden hesaplanan beklenen açılış fiyatını not edin.
2. Stratejiyi başlatın; Pasif Emirler panelinde vadeli emri bulun.
3. Yönü, miktarı ve fiyatı beklenen değerle karşılaştırın.
4. Vadeli emir henüz gerçekleşmemişken spot emir gönderilmediğini kontrol edin.</t>
        </is>
      </c>
      <c r="G19" s="20" t="inlineStr">
        <is>
          <t xml:space="preserve">Tahtada 1 kontratlık vadeli SATIŞ emri durur. Fiyatı, piyasadaki faizin %35 olduğu vadeli fiyata eşittir (fiyat adımı yuvarlaması hariç). Faiz henüz %35'e ulaşmadığı için emir dolmaz ve spot emri gönderilmez.</t>
        </is>
      </c>
      <c r="H19" s="19" t="inlineStr">
        <is>
          <t xml:space="preserve">Emir hesaplanan faiz oranı fiyatına göre vadeli tarafta pasife yazıldı.</t>
        </is>
      </c>
      <c r="I19" s="19" t="inlineStr">
        <is>
          <t xml:space="preserve">Takip tablosu, Pasif Emirler, Emir Geçmişi ve ilgili işlem ekranı.</t>
        </is>
      </c>
      <c r="J19" s="18" t="inlineStr">
        <is>
          <t xml:space="preserve">Test</t>
        </is>
      </c>
      <c r="K19" s="18" t="inlineStr">
        <is>
          <t xml:space="preserve">Yüksek</t>
        </is>
      </c>
      <c r="L19" s="20" t="inlineStr">
        <is>
          <t xml:space="preserve">RA fiyat hesabı: Spot en iyi satış × (1 + 35 / 100 × gün / 365), geçerli fiyat adımına göre. Kullanılan takas gününü D03 ile kontrol edin; beklenen fiyatı emir sonucundan almayın.</t>
        </is>
      </c>
      <c r="M19" s="21"/>
    </row>
    <row r="20" spans="1:13" ht="111.75" customHeight="1" x14ac:dyDescent="0.25">
      <c r="A20" s="17" t="inlineStr">
        <is>
          <t xml:space="preserve">TC-ARB-A02</t>
        </is>
      </c>
      <c r="B20" s="18" t="inlineStr">
        <is>
          <t xml:space="preserve">Başarılı</t>
        </is>
      </c>
      <c r="C20" s="19" t="inlineStr">
        <is>
          <t xml:space="preserve">Ana sanity</t>
        </is>
      </c>
      <c r="D20" s="19" t="inlineStr">
        <is>
          <t xml:space="preserve">Pasif açılış emrinin fiyat değiştikçe güncellenmesi</t>
        </is>
      </c>
      <c r="E20" s="20" t="inlineStr">
        <is>
          <t xml:space="preserve">TC-ARB-A01 sonrası; tahtada pasif açılış emri var.</t>
        </is>
      </c>
      <c r="F20" s="20" t="inlineStr">
        <is>
          <t xml:space="preserve">1. Spot fiyat değişirken Pasif Emirler panelindeki vadeli emrin fiyatını izle
2. Her değişimde beklenen fiyatı TC-ARB-A01'deki hesapla tekrar hesapla
3. Birkaç değişimi kaydet</t>
        </is>
      </c>
      <c r="G20" s="20" t="inlineStr">
        <is>
          <t xml:space="preserve">Spot fiyatındaki değişiklik beklenen vadeli emir fiyatını değiştirdiğinde pasif emir yeni fiyata güncellenir; aynı işlem için fazladan açık emir oluşmaz.</t>
        </is>
      </c>
      <c r="H20" s="19" t="inlineStr">
        <is>
          <t xml:space="preserve">Vadelide pasifte bekleyen emir spot değişimine göre anlık fiyatı güncelleniyor. </t>
        </is>
      </c>
      <c r="I20" s="19" t="inlineStr">
        <is>
          <t xml:space="preserve">Takip tablosu, Pasif Emirler, Emir Geçmişi ve ilgili işlem ekranı.</t>
        </is>
      </c>
      <c r="J20" s="18" t="inlineStr">
        <is>
          <t xml:space="preserve">Test</t>
        </is>
      </c>
      <c r="K20" s="18" t="inlineStr">
        <is>
          <t xml:space="preserve">Yüksek</t>
        </is>
      </c>
      <c r="L20" s="20" t="inlineStr">
        <is>
          <t xml:space="preserve">Fiyat değiştirme geçmişinin sayfa yenilendiğinde yeniden yüklenmemesi bilinen ürün tercihidir; bu test yalnız emir fiyatının güncellenmesini kontrol eder.</t>
        </is>
      </c>
      <c r="M20" s="21"/>
    </row>
    <row r="21" spans="1:13" x14ac:dyDescent="0.25" ht="138.0" customHeight="1">
      <c r="A21" s="17" t="inlineStr">
        <is>
          <t xml:space="preserve">TC-ARB-A03</t>
        </is>
      </c>
      <c r="B21" s="18" t="inlineStr">
        <is>
          <t xml:space="preserve">Başarılı</t>
        </is>
      </c>
      <c r="C21" s="19" t="inlineStr">
        <is>
          <t xml:space="preserve">Ana sanity</t>
        </is>
      </c>
      <c r="D21" s="19" t="inlineStr">
        <is>
          <t xml:space="preserve">Vadeli emir dolunca spot bacağın gönderilmesi ve paketin oluşması</t>
        </is>
      </c>
      <c r="E21" s="20" t="inlineStr">
        <is>
          <t xml:space="preserve">TC-ARB-A01 sonrası; pasif açılış emri tahtada.</t>
        </is>
      </c>
      <c r="F21" s="20" t="inlineStr">
        <is>
          <t xml:space="preserve">1. Piyasa emir fiyatına gelip vadeli emir dolana kadar bekle
2. Emir Geçmişi'nde spot emrini bul; yönünü, miktarını, fiyatını kaydet
3. Sağ tık ▸ Paket Hareketleri'ni aç
4. Takip tablosunda Vadeli Pozisyon ve Spot Pozisyon'u kaydet</t>
        </is>
      </c>
      <c r="G21" s="20" t="inlineStr">
        <is>
          <t xml:space="preserve">RA örneğinde 1 vadeli kontrat gerçekleşince 100 lot spot alış emri gönderilir. Spot emir gerçekleşince paketin iki bacağı tamamlanır; Paket Hareketleri ve pozisyon miktarları uyumlu olur. Spot emrin gönderilmesini gerçekleşme olarak kabul etmeyin.</t>
        </is>
      </c>
      <c r="H21" s="19" t="inlineStr">
        <is>
          <t xml:space="preserve">Beklendiği gibi 1 vadeli kontrat emri gerçekleştiğinde anında spot tarafta 100 lot emir atılıyor. </t>
        </is>
      </c>
      <c r="I21" s="19" t="inlineStr">
        <is>
          <t xml:space="preserve">Takip tablosu, Pasif Emirler, Emir Geçmişi ve ilgili işlem ekranı.</t>
        </is>
      </c>
      <c r="J21" s="18" t="inlineStr">
        <is>
          <t xml:space="preserve">Test</t>
        </is>
      </c>
      <c r="K21" s="18" t="inlineStr">
        <is>
          <t xml:space="preserve">Yüksek</t>
        </is>
      </c>
      <c r="L21" s="20"/>
      <c r="M21" s="21"/>
    </row>
    <row r="22" spans="1:13" ht="73.5" customHeight="1" x14ac:dyDescent="0.25">
      <c r="A22" s="17" t="inlineStr">
        <is>
          <t xml:space="preserve">TC-ARB-A04</t>
        </is>
      </c>
      <c r="B22" s="18" t="inlineStr">
        <is>
          <t xml:space="preserve">Başarılı</t>
        </is>
      </c>
      <c r="C22" s="19" t="inlineStr">
        <is>
          <t xml:space="preserve">Ana sanity</t>
        </is>
      </c>
      <c r="D22" s="19" t="inlineStr">
        <is>
          <t xml:space="preserve">Paket Limiti 1: açılışların birer kontrat ilerlemesi</t>
        </is>
      </c>
      <c r="E22" s="20" t="inlineStr">
        <is>
          <t xml:space="preserve">RA. Açık pozisyon yok.</t>
        </is>
      </c>
      <c r="F22" s="20" t="inlineStr">
        <is>
          <t xml:space="preserve">1. Stratejiyi başlat ve birden fazla açılış gerçekleşene kadar izle
2. Her vadeli emrin miktarını kaydet
3. Bir sonraki açılış emrinin, önceki paketin spot bacağı dolmadan mı sonra mı konduğunu kaydet</t>
        </is>
      </c>
      <c r="G22" s="20" t="inlineStr">
        <is>
          <t xml:space="preserve">Her vadeli emir 1 kontrattır. Bir paketin spot bacağı tamamlanmadan yeni açılış emri konmaz; spot dolduktan sonra yeni 1 kontratlık emir tahtaya gelir.</t>
        </is>
      </c>
      <c r="H22" s="19" t="inlineStr">
        <is>
          <t xml:space="preserve">Spot emirleri de gerçekleşmeden, paket açılışı tamamlanmadan yeni emir vadeli tarafa gönderilmiyor, yeni paket açılış işlemi önceki paket tamamlanmadan başlamıyor. </t>
        </is>
      </c>
      <c r="I22" s="19" t="inlineStr">
        <is>
          <t xml:space="preserve">Takip tablosu, Pasif Emirler, Emir Geçmişi ve ilgili işlem ekranı.</t>
        </is>
      </c>
      <c r="J22" s="18" t="inlineStr">
        <is>
          <t xml:space="preserve">Test</t>
        </is>
      </c>
      <c r="K22" s="18" t="inlineStr">
        <is>
          <t xml:space="preserve">Yüksek</t>
        </is>
      </c>
      <c r="L22" s="20"/>
      <c r="M22" s="21"/>
    </row>
    <row r="23" spans="1:13" ht="86.25" customHeight="1" x14ac:dyDescent="0.25">
      <c r="A23" s="17" t="inlineStr">
        <is>
          <t xml:space="preserve">TC-ARB-A05</t>
        </is>
      </c>
      <c r="B23" s="18" t="inlineStr">
        <is>
          <t xml:space="preserve">Başarılı</t>
        </is>
      </c>
      <c r="C23" s="19" t="inlineStr">
        <is>
          <t xml:space="preserve">Ana sanity</t>
        </is>
      </c>
      <c r="D23" s="19" t="inlineStr">
        <is>
          <t xml:space="preserve">Kontrat Limiti 4'e ulaşınca yeni açılış yapılmaması</t>
        </is>
      </c>
      <c r="E23" s="20" t="inlineStr">
        <is>
          <t xml:space="preserve">RA. Açılışların devam ettiği bir çift.</t>
        </is>
      </c>
      <c r="F23" s="20" t="inlineStr">
        <is>
          <t xml:space="preserve">1. Vadeli Pozisyon 4 olana kadar açılışları izle
2. Pozisyon 4 olduktan sonra Pasif Emirler panelinde açılış emri olup olmadığına bak
3. Piyasa açılış koşulunu sağlamaya devam ederken yeni emir gelip gelmediğini izle</t>
        </is>
      </c>
      <c r="G23" s="20" t="inlineStr">
        <is>
          <t xml:space="preserve">Vadeli Pozisyon 4 olduktan sonra yeni açılış emri konmaz ve tahtada açılış emri kalmaz. Kapanış emri (koşul varsa) çalışmaya devam eder.</t>
        </is>
      </c>
      <c r="H23" s="19" t="inlineStr">
        <is>
          <t xml:space="preserve">Kontrat limiti tamamlandığında strateji çalışmaya devam ediyor ama ayarları güncelleyene kadar yeni emir girilmiyor. </t>
        </is>
      </c>
      <c r="I23" s="19" t="inlineStr">
        <is>
          <t xml:space="preserve">Takip tablosu, Pasif Emirler, Emir Geçmişi ve ilgili işlem ekranı.</t>
        </is>
      </c>
      <c r="J23" s="18" t="inlineStr">
        <is>
          <t xml:space="preserve">Test</t>
        </is>
      </c>
      <c r="K23" s="18" t="inlineStr">
        <is>
          <t xml:space="preserve">Yüksek</t>
        </is>
      </c>
      <c r="L23" s="20"/>
      <c r="M23" s="21"/>
    </row>
    <row r="24" spans="1:13" ht="124.5" customHeight="1" x14ac:dyDescent="0.25">
      <c r="A24" s="17" t="inlineStr">
        <is>
          <t xml:space="preserve">TC-ARB-A06</t>
        </is>
      </c>
      <c r="B24" s="18" t="inlineStr">
        <is>
          <t xml:space="preserve">Başarılı</t>
        </is>
      </c>
      <c r="C24" s="19" t="inlineStr">
        <is>
          <t xml:space="preserve">Ana sanity</t>
        </is>
      </c>
      <c r="D24" s="19" t="inlineStr">
        <is>
          <t xml:space="preserve">Piyasadaki faiz %29'a inince pozisyonun kapatılması</t>
        </is>
      </c>
      <c r="E24" s="20" t="inlineStr">
        <is>
          <t xml:space="preserve">RA. En az 1 açık paket var.</t>
        </is>
      </c>
      <c r="F24" s="20" t="inlineStr">
        <is>
          <t xml:space="preserve">1. Açık paketi ve kapanış için bekleyen vadeli alış emrini bulun.
2. Emir fiyatını, %29 kapanış faizi için önceden hesaplanan fiyatla karşılaştırın.
3. Vadeli kapanış gerçekleşince 100 lot spot satış emrini takip edin.
4. Spot kapanış gerçekleşince paket durumunu, K.P. ve pozisyon miktarlarını kontrol edin.</t>
        </is>
      </c>
      <c r="G24" s="20" t="inlineStr">
        <is>
          <t xml:space="preserve">Açık paket varken tahtada 1 kontratlık vadeli ALIŞ kapanış emri, %29 faize karşılık gelen fiyattan durur (açılış emriyle aynı anda tahtada olabilir). Dolunca 100 lot spot SATIŞ gönderilir; kapanan paketin durumu 'Kapalı' olur, K.P. 1 artar, Vadeli Pozisyon 1 azalır.</t>
        </is>
      </c>
      <c r="H24" s="19" t="inlineStr">
        <is>
          <t xml:space="preserve">Henüz kontrat limiti dolmadıysa paket kapatma ve açmak için olan vadeli emirleri aynı anda pasifte bekliyor. Vadeli emir gerekleşince spot taraftan satış emri gönderiliyor. </t>
        </is>
      </c>
      <c r="I24" s="19" t="inlineStr">
        <is>
          <t xml:space="preserve">Takip tablosu, Pasif Emirler, Emir Geçmişi ve ilgili işlem ekranı.</t>
        </is>
      </c>
      <c r="J24" s="18" t="inlineStr">
        <is>
          <t xml:space="preserve">Test</t>
        </is>
      </c>
      <c r="K24" s="18" t="inlineStr">
        <is>
          <t xml:space="preserve">Yüksek</t>
        </is>
      </c>
      <c r="L24" s="20"/>
      <c r="M24" s="21"/>
    </row>
    <row r="25" spans="1:13" ht="99" customHeight="1" x14ac:dyDescent="0.25">
      <c r="A25" s="17" t="inlineStr">
        <is>
          <t xml:space="preserve">TC-ARB-A07</t>
        </is>
      </c>
      <c r="B25" s="18" t="inlineStr">
        <is>
          <t xml:space="preserve">Kısmen</t>
        </is>
      </c>
      <c r="C25" s="19" t="inlineStr">
        <is>
          <t xml:space="preserve">Genişletilmiş</t>
        </is>
      </c>
      <c r="D25" s="19" t="inlineStr">
        <is>
          <t xml:space="preserve">Kontrat Kapatma Limiti 2: kapanışların durması ve pozisyonun yeniden dolması</t>
        </is>
      </c>
      <c r="E25" s="20" t="inlineStr">
        <is>
          <t xml:space="preserve">RA. En az 3 açık paket; gün içinde henüz kapanış yok (K.P. = 0).</t>
        </is>
      </c>
      <c r="F25" s="20" t="inlineStr">
        <is>
          <t xml:space="preserve">1. İki kapanışın gerçekleşmesini bekle (K.P. = 2)
2. Sonrasında Pasif Emirler panelinde kapanış emri olup olmadığını kontrol et
3. Açılışların devam edip etmediğini ve Vadeli Pozisyon'un nereye kadar çıktığını izle
4. Stratejiyi ⏸ ile durdurup ▶ ile başlat ve K.P. değerini kontrol et</t>
        </is>
      </c>
      <c r="G25" s="20" t="inlineStr">
        <is>
          <t xml:space="preserve">K.P. 2 olunca yeni kapanış emri konmaz. Açılışlar devam eder; Vadeli Pozisyon 4'e kadar dolar ve orada kalır. Stratejiyi durdurup başlatmak K.P.'yi sıfırlamaz.</t>
        </is>
      </c>
      <c r="H25" s="19" t="inlineStr">
        <is>
          <t xml:space="preserve">Bir paket başarılı bir şekilde kapatıldıysa bu paket kontrat limitine dahil olmuyor, eğer kontrat limtinde yer varsa yeni paket açılımı için emir gönderildi. </t>
        </is>
      </c>
      <c r="I25" s="19" t="inlineStr">
        <is>
          <t xml:space="preserve">Takip tablosu, Pasif Emirler, Emir Geçmişi ve ilgili işlem ekranı.</t>
        </is>
      </c>
      <c r="J25" s="18" t="inlineStr">
        <is>
          <t xml:space="preserve">Test</t>
        </is>
      </c>
      <c r="K25" s="18" t="inlineStr">
        <is>
          <t xml:space="preserve">Yüksek</t>
        </is>
      </c>
      <c r="L25" s="20" t="inlineStr">
        <is>
          <t xml:space="preserve">Önceki gözlem: bir paket kapandıktan sonra yeni açılış yapılmış. Bekleyen: K.P.=2 sınırı ve durdur/başlat sonrasında sayacın korunması.</t>
        </is>
      </c>
      <c r="M25" s="21"/>
    </row>
    <row r="26" spans="1:13" x14ac:dyDescent="0.25" ht="112.0" customHeight="1">
      <c r="A26" s="17" t="inlineStr">
        <is>
          <t xml:space="preserve">TC-ARB-A08</t>
        </is>
      </c>
      <c r="B26" s="18" t="inlineStr">
        <is>
          <t xml:space="preserve">Test Edilmedi</t>
        </is>
      </c>
      <c r="C26" s="19" t="inlineStr">
        <is>
          <t xml:space="preserve">Ana sanity</t>
        </is>
      </c>
      <c r="D26" s="19" t="inlineStr">
        <is>
          <t xml:space="preserve">Stop-loss: spot emrinin süre sonunda karşı en iyi fiyata taşınması</t>
        </is>
      </c>
      <c r="E26" s="20" t="inlineStr">
        <is>
          <t xml:space="preserve">RA. Spot fiyatın sakin olduğu bir çift (spot emrin fiyatı ile karşı taraf arasındaki fark 3 kademeyi geçmesin).</t>
        </is>
      </c>
      <c r="F26" s="20" t="inlineStr">
        <is>
          <t xml:space="preserve">1. Bir açılışın vadeli bacağının dolmasını bekle
2. Spot emrinin gönderildiği saati kaydet
3. Spot emir tahtada dolmadan beklerken 300 saniye dolana kadar izle
4. Emrin fiyatının ve tipinin değişip değişmediğini kaydet</t>
        </is>
      </c>
      <c r="G26" s="20" t="inlineStr">
        <is>
          <t xml:space="preserve">Spot emir 300 saniye boyunca gerçekleşmezse karşı taraftaki en iyi fiyata taşınır; günlük limit emir olarak kalır. Gerçekleşirse paket tamamlanır; fiyatın taşınması tek başına gerçekleşme değildir.</t>
        </is>
      </c>
      <c r="H26" s="19"/>
      <c r="I26" s="19" t="inlineStr">
        <is>
          <t xml:space="preserve">Takip tablosu, Pasif Emirler, Emir Geçmişi ve ilgili işlem ekranı.</t>
        </is>
      </c>
      <c r="J26" s="18" t="inlineStr">
        <is>
          <t xml:space="preserve">Test</t>
        </is>
      </c>
      <c r="K26" s="18" t="inlineStr">
        <is>
          <t xml:space="preserve">Yüksek</t>
        </is>
      </c>
      <c r="L26" s="20"/>
      <c r="M26" s="21"/>
    </row>
    <row r="27" spans="1:13" ht="86.25" customHeight="1" x14ac:dyDescent="0.25">
      <c r="A27" s="17" t="inlineStr">
        <is>
          <t xml:space="preserve">TC-ARB-A09</t>
        </is>
      </c>
      <c r="B27" s="18" t="inlineStr">
        <is>
          <t xml:space="preserve">Test Edilmedi</t>
        </is>
      </c>
      <c r="C27" s="19" t="inlineStr">
        <is>
          <t xml:space="preserve">Genişletilmiş</t>
        </is>
      </c>
      <c r="D27" s="19" t="inlineStr">
        <is>
          <t xml:space="preserve">Stop loss: spot fiyatın 3 kademeden fazla uzaklaşması</t>
        </is>
      </c>
      <c r="E27" s="20" t="inlineStr">
        <is>
          <t xml:space="preserve">RA. Spot fiyatın hareketli olduğu bir çift.</t>
        </is>
      </c>
      <c r="F27" s="20" t="inlineStr">
        <is>
          <t xml:space="preserve">1. Bir açılışın vadeli bacağının dolmasını bekle
2. Spot emrin fiyatını ve karşı taraftaki en iyi fiyatı izle
3. Fark 3 kademede iken ve 4 kademeye çıktığında emrin durumunu kaydet</t>
        </is>
      </c>
      <c r="G27" s="20" t="inlineStr">
        <is>
          <t xml:space="preserve">Süre koşulu henüz oluşmamışken fark 3 kademede kalırsa emir bekler; 4 kademe veya üzerine çıktığında karşı en iyi fiyata taşınır. Gerçekleşme ayrıca kontrol edilir.</t>
        </is>
      </c>
      <c r="H27" s="19"/>
      <c r="I27" s="19" t="inlineStr">
        <is>
          <t xml:space="preserve">Takip tablosu, Pasif Emirler, Emir Geçmişi ve ilgili işlem ekranı.</t>
        </is>
      </c>
      <c r="J27" s="18" t="inlineStr">
        <is>
          <t xml:space="preserve">Test</t>
        </is>
      </c>
      <c r="K27" s="18" t="inlineStr">
        <is>
          <t xml:space="preserve">Yüksek</t>
        </is>
      </c>
      <c r="L27" s="20"/>
      <c r="M27" s="21"/>
    </row>
    <row r="28" spans="1:13" x14ac:dyDescent="0.25" ht="138.0" customHeight="1">
      <c r="A28" s="17" t="inlineStr">
        <is>
          <t xml:space="preserve">TC-ARB-A10</t>
        </is>
      </c>
      <c r="B28" s="18" t="inlineStr">
        <is>
          <t xml:space="preserve">Test Edilmedi</t>
        </is>
      </c>
      <c r="C28" s="19" t="inlineStr">
        <is>
          <t xml:space="preserve">Ana sanity</t>
        </is>
      </c>
      <c r="D28" s="19" t="inlineStr">
        <is>
          <t xml:space="preserve">Açığa Satış Yasak iken ters yönde işlem açılmaması</t>
        </is>
      </c>
      <c r="E28" s="20" t="inlineStr">
        <is>
          <t xml:space="preserve">RA + Baz Faiz, piyasadaki faizden yüksek bir değer (örneğin 100). Açık pozisyon yok.</t>
        </is>
      </c>
      <c r="F28" s="20" t="inlineStr">
        <is>
          <t xml:space="preserve">1. Baz Faiz'i 100 yap ve kaydet (teorik fiyat vadeli fiyatın üstüne çıkar, strateji 'vadeli al + spot sat' yönüne bakar)
2. Stratejiyi başlat
3. Pasif Emirler panelinde ve Emir Geçmişi'nde emir oluşup oluşmadığını izle</t>
        </is>
      </c>
      <c r="G28" s="20" t="inlineStr">
        <is>
          <t xml:space="preserve">Hiçbir emir gönderilmez. 'Vadeli al + spot sat' yönü spot satış gerektirdiği için Açığa Satış Yasak iken kapalıdır.</t>
        </is>
      </c>
      <c r="H28" s="19"/>
      <c r="I28" s="19" t="inlineStr">
        <is>
          <t xml:space="preserve">Takip tablosu, Pasif Emirler, Emir Geçmişi ve ilgili işlem ekranı.</t>
        </is>
      </c>
      <c r="J28" s="18" t="inlineStr">
        <is>
          <t xml:space="preserve">Test</t>
        </is>
      </c>
      <c r="K28" s="18" t="inlineStr">
        <is>
          <t xml:space="preserve">Yüksek</t>
        </is>
      </c>
      <c r="L28" s="20"/>
      <c r="M28" s="21"/>
    </row>
    <row r="29" spans="1:13" ht="111.75" customHeight="1" x14ac:dyDescent="0.25">
      <c r="A29" s="17" t="inlineStr">
        <is>
          <t xml:space="preserve">TC-ARB-A11</t>
        </is>
      </c>
      <c r="B29" s="18" t="inlineStr">
        <is>
          <t xml:space="preserve">Test Edilmedi</t>
        </is>
      </c>
      <c r="C29" s="19" t="inlineStr">
        <is>
          <t xml:space="preserve">Genişletilmiş</t>
        </is>
      </c>
      <c r="D29" s="19" t="inlineStr">
        <is>
          <t xml:space="preserve">Stratejinin 10:00'dan önce başlatılması</t>
        </is>
      </c>
      <c r="E29" s="20" t="inlineStr">
        <is>
          <t xml:space="preserve">RA. Saat 09:40–10:00 arası (açılış seansı).</t>
        </is>
      </c>
      <c r="F29" s="20" t="inlineStr">
        <is>
          <t xml:space="preserve">1. Referans başlangıç saatinden önce stratejiyi başlatın.
2. Başlangıç öncesi ve sonrası çalışma durumunu ve emirleri izleyin.
3. Saatleri ve ekran görüntülerini kaydedin.</t>
        </is>
      </c>
      <c r="G29" s="20" t="inlineStr">
        <is>
          <t xml:space="preserve">Strateji 10:00'a kadar bekler ve sürekli müzayede başlayınca kendiliğinden emir koymaya başlar.</t>
        </is>
      </c>
      <c r="H29" s="19"/>
      <c r="I29" s="19" t="inlineStr">
        <is>
          <t xml:space="preserve">Takip tablosu, Pasif Emirler, Emir Geçmişi ve ilgili işlem ekranı.</t>
        </is>
      </c>
      <c r="J29" s="18" t="inlineStr">
        <is>
          <t xml:space="preserve">Test</t>
        </is>
      </c>
      <c r="K29" s="18" t="inlineStr">
        <is>
          <t xml:space="preserve">Yüksek</t>
        </is>
      </c>
      <c r="L29" s="20" t="inlineStr">
        <is>
          <t xml:space="preserve">Seans başlangıcı ile ayarlardaki başlangıç saati ayrı koşullardır.</t>
        </is>
      </c>
      <c r="M29" s="21"/>
    </row>
    <row r="30" spans="1:13" ht="99" customHeight="1" x14ac:dyDescent="0.25">
      <c r="A30" s="17" t="inlineStr">
        <is>
          <t xml:space="preserve">TC-ARB-A12</t>
        </is>
      </c>
      <c r="B30" s="18" t="inlineStr">
        <is>
          <t xml:space="preserve">Test Edilmedi</t>
        </is>
      </c>
      <c r="C30" s="19" t="inlineStr">
        <is>
          <t xml:space="preserve">Ana sanity</t>
        </is>
      </c>
      <c r="D30" s="19" t="inlineStr">
        <is>
          <t xml:space="preserve">Bitiş saati 18:00'de stratejinin durması</t>
        </is>
      </c>
      <c r="E30" s="20" t="inlineStr">
        <is>
          <t xml:space="preserve">RA. Çiftte açık pozisyon ve tahtada bekleyen emir var.</t>
        </is>
      </c>
      <c r="F30" s="20" t="inlineStr">
        <is>
          <t xml:space="preserve">1. 18:00'ı bekle
2. Satırdaki ikonu, Pasif Emirler panelini ve Emir Geçmişi'ni kontrol et
3. Açık paketlerin durumunu Paket Hareketleri'nden kontrol et</t>
        </is>
      </c>
      <c r="G30" s="20" t="inlineStr">
        <is>
          <t xml:space="preserve">18:00'de strateji durur, ikon ▶'ye döner. Vadeli bacaktaki bekleyen emirler iptal edilir. Açık pozisyon kapatılmaz; paketler 'Açık' olarak kalır.</t>
        </is>
      </c>
      <c r="H30" s="19"/>
      <c r="I30" s="19" t="inlineStr">
        <is>
          <t xml:space="preserve">Takip tablosu, Pasif Emirler, Emir Geçmişi ve ilgili işlem ekranı.</t>
        </is>
      </c>
      <c r="J30" s="18" t="inlineStr">
        <is>
          <t xml:space="preserve">Test</t>
        </is>
      </c>
      <c r="K30" s="18" t="inlineStr">
        <is>
          <t xml:space="preserve">Yüksek</t>
        </is>
      </c>
      <c r="L30" s="20" t="inlineStr">
        <is>
          <t xml:space="preserve">Durdurma, açık pozisyonun kapatılması anlamına gelmez.</t>
        </is>
      </c>
      <c r="M30" s="21"/>
    </row>
    <row r="31" spans="1:13" ht="73.5" customHeight="1" x14ac:dyDescent="0.25">
      <c r="A31" s="17" t="inlineStr">
        <is>
          <t xml:space="preserve">TC-ARB-A13</t>
        </is>
      </c>
      <c r="B31" s="18" t="inlineStr">
        <is>
          <t xml:space="preserve">Başarılı</t>
        </is>
      </c>
      <c r="C31" s="19" t="inlineStr">
        <is>
          <t xml:space="preserve">Ana sanity</t>
        </is>
      </c>
      <c r="D31" s="19" t="inlineStr">
        <is>
          <t xml:space="preserve">Emirlerin Ouch kanalıyla gönderilmesi</t>
        </is>
      </c>
      <c r="E31" s="20" t="inlineStr">
        <is>
          <t xml:space="preserve">RA.</t>
        </is>
      </c>
      <c r="F31" s="20" t="inlineStr">
        <is>
          <t xml:space="preserve">1. Bir açılış gerçekleşmesini bekle
2. Emir Geçmişi'nde vadeli ve spot emirlerin Ouch kolonunu kontrol et</t>
        </is>
      </c>
      <c r="G31" s="20" t="inlineStr">
        <is>
          <t xml:space="preserve">Her iki bacağın emirleri de Ouch kullanıcısı üzerinden gönderilir.</t>
        </is>
      </c>
      <c r="H31" s="19" t="inlineStr">
        <is>
          <t xml:space="preserve">Emirler OUCH kanalı ile gönderiliyor. </t>
        </is>
      </c>
      <c r="I31" s="19" t="inlineStr">
        <is>
          <t xml:space="preserve">Takip tablosu, Pasif Emirler, Emir Geçmişi ve ilgili işlem ekranı.</t>
        </is>
      </c>
      <c r="J31" s="18" t="inlineStr">
        <is>
          <t xml:space="preserve">Test</t>
        </is>
      </c>
      <c r="K31" s="18" t="inlineStr">
        <is>
          <t xml:space="preserve">Orta</t>
        </is>
      </c>
      <c r="L31" s="20"/>
      <c r="M31" s="21"/>
    </row>
    <row r="32" spans="1:13" x14ac:dyDescent="0.25" ht="125.0" customHeight="1">
      <c r="A32" s="17" t="inlineStr">
        <is>
          <t xml:space="preserve">TC-ARB-B01</t>
        </is>
      </c>
      <c r="B32" s="18" t="inlineStr">
        <is>
          <t xml:space="preserve">Test Edilmedi</t>
        </is>
      </c>
      <c r="C32" s="19" t="inlineStr">
        <is>
          <t xml:space="preserve">Ana sanity</t>
        </is>
      </c>
      <c r="D32" s="19" t="inlineStr">
        <is>
          <t xml:space="preserve">'Vadeli al + spot sat' yönünde işlem (Açığa Satış Serbest)</t>
        </is>
      </c>
      <c r="E32" s="20" t="inlineStr">
        <is>
          <t xml:space="preserve">RA + Açığa Satış: Serbest, Alış Hedef Faiz ve Alış Kapatma Faiz dolu, Baz Faiz piyasadaki faizden yüksek. Açık pozisyon yok.</t>
        </is>
      </c>
      <c r="F32" s="20" t="inlineStr">
        <is>
          <t xml:space="preserve">1. Açığa Satış'ı Serbest yap; açılan Alış Hedef Faiz ve Alış Kapatma Faiz alanlarını doldur
2. Baz Faiz'i piyasadaki faizin üstüne ayarla ve kaydet
3. Stratejiyi başlat; tahtadaki vadeli emri kontrol et
4. Beklenen fiyatı hesapla: (1 + Alış Hedef Faiz / 100 × Vadeye kalan gün / 365) × Spot en iyi alış fiyatı
5. Dolunca spot emrini ve Paket Hareketleri'ni kontrol et</t>
        </is>
      </c>
      <c r="G32" s="20" t="inlineStr">
        <is>
          <t xml:space="preserve">Tahtada 1 kontratlık vadeli ALIŞ emri, Alış Hedef Faiz'e karşılık gelen fiyattan durur. Dolunca 100 lot spot SATIŞ gönderilir; paketin yönü 'Alarak' olur. Kapanış Alış Kapatma Faiz'e ulaşınca yapılır.</t>
        </is>
      </c>
      <c r="H32" s="19"/>
      <c r="I32" s="19" t="inlineStr">
        <is>
          <t xml:space="preserve">Takip tablosu, Pasif Emirler, Emir Geçmişi ve ilgili işlem ekranı.</t>
        </is>
      </c>
      <c r="J32" s="18" t="inlineStr">
        <is>
          <t xml:space="preserve">Test</t>
        </is>
      </c>
      <c r="K32" s="18" t="inlineStr">
        <is>
          <t xml:space="preserve">Yüksek</t>
        </is>
      </c>
      <c r="L32" s="20"/>
      <c r="M32" s="21"/>
    </row>
    <row r="33" spans="1:13" x14ac:dyDescent="0.25" ht="216.0" customHeight="1">
      <c r="A33" s="17" t="inlineStr">
        <is>
          <t xml:space="preserve">TC-ARB-B03</t>
        </is>
      </c>
      <c r="B33" s="18" t="inlineStr">
        <is>
          <t xml:space="preserve">Test Edilmedi</t>
        </is>
      </c>
      <c r="C33" s="19" t="inlineStr">
        <is>
          <t xml:space="preserve">Genişletilmiş</t>
        </is>
      </c>
      <c r="D33" s="19" t="inlineStr">
        <is>
          <t xml:space="preserve">Satış Tipi Short: spot satışın açığa satış olarak gönderilmesi</t>
        </is>
      </c>
      <c r="E33" s="20" t="inlineStr">
        <is>
          <t xml:space="preserve">TC-ARB-B01 ayarları + Satış Tipi: Short.</t>
        </is>
      </c>
      <c r="F33" s="20" t="inlineStr">
        <is>
          <t xml:space="preserve">1. Satış Tipi'ni Short yap ve kaydet
2. 'Vadeli al + spot sat' yönünde bir açılış gerçekleşmesini bekle
3. Emir Geçmişi'nde spot emrin A/S değerini kontrol et
4. Aynı paketin kapanışında spot emrin A/S değerini kontrol et</t>
        </is>
      </c>
      <c r="G33" s="20" t="inlineStr">
        <is>
          <t xml:space="preserve">Açılışta spot satış emri 'Short' (açığa satış) olarak gönderilir. Satış Tipi Sell iken aynı emir 'Sell' gider.</t>
        </is>
      </c>
      <c r="H33" s="19"/>
      <c r="I33" s="19" t="inlineStr">
        <is>
          <t xml:space="preserve">Takip tablosu, Pasif Emirler, Emir Geçmişi ve ilgili işlem ekranı.</t>
        </is>
      </c>
      <c r="J33" s="18" t="inlineStr">
        <is>
          <t xml:space="preserve">Test</t>
        </is>
      </c>
      <c r="K33" s="18" t="inlineStr">
        <is>
          <t xml:space="preserve">Orta</t>
        </is>
      </c>
      <c r="L33" s="20"/>
      <c r="M33" s="21"/>
    </row>
    <row r="34" spans="1:13" ht="86.25" customHeight="1" x14ac:dyDescent="0.25">
      <c r="A34" s="17" t="inlineStr">
        <is>
          <t xml:space="preserve">TC-ARB-B04</t>
        </is>
      </c>
      <c r="B34" s="18" t="inlineStr">
        <is>
          <t xml:space="preserve">Test Edilmedi</t>
        </is>
      </c>
      <c r="C34" s="19" t="inlineStr">
        <is>
          <t xml:space="preserve">Ana sanity</t>
        </is>
      </c>
      <c r="D34" s="19" t="inlineStr">
        <is>
          <t xml:space="preserve">İşlem Tipi Aktif: koşul oluştuğunda karşı fiyattan işlem</t>
        </is>
      </c>
      <c r="E34" s="20" t="inlineStr">
        <is>
          <t xml:space="preserve">RA + İşlem Tipi: Aktif.</t>
        </is>
      </c>
      <c r="F34" s="20" t="inlineStr">
        <is>
          <t xml:space="preserve">1. İşlem Tipi'ni Aktif yap ve stratejiyi başlat
2. Tahtada bekleyen vadeli emir olup olmadığına bak
3. Takip tablosunda A.A.F. değerini izle; 35'e ulaştığında gönderilen emri kaydet
4. Kapanışta A.K.F. 29'a indiğinde gönderilen emri kaydet</t>
        </is>
      </c>
      <c r="G34" s="20" t="inlineStr">
        <is>
          <t xml:space="preserve">Tahtada bekleyen vadeli emir olmaz. Piyasadaki faiz %35'e ulaştığında vadeli satış emri karşı taraftaki en iyi alış fiyatından 'gerçekleşmezse iptal' (FaK) olarak gönderilir; dolan kısım için spot bacak gönderilir. Kapanış faiz %29'a inince aynı şekilde yapılır.</t>
        </is>
      </c>
      <c r="H34" s="19"/>
      <c r="I34" s="19" t="inlineStr">
        <is>
          <t xml:space="preserve">Takip tablosu, Pasif Emirler, Emir Geçmişi ve ilgili işlem ekranı.</t>
        </is>
      </c>
      <c r="J34" s="18" t="inlineStr">
        <is>
          <t xml:space="preserve">Test</t>
        </is>
      </c>
      <c r="K34" s="18" t="inlineStr">
        <is>
          <t xml:space="preserve">Yüksek</t>
        </is>
      </c>
      <c r="L34" s="20"/>
      <c r="M34" s="21"/>
    </row>
    <row r="35" spans="1:13" ht="86.25" customHeight="1" x14ac:dyDescent="0.25">
      <c r="A35" s="17" t="inlineStr">
        <is>
          <t xml:space="preserve">TC-ARB-B05</t>
        </is>
      </c>
      <c r="B35" s="18" t="inlineStr">
        <is>
          <t xml:space="preserve">Test Edilmedi</t>
        </is>
      </c>
      <c r="C35" s="19" t="inlineStr">
        <is>
          <t xml:space="preserve">Ana sanity</t>
        </is>
      </c>
      <c r="D35" s="19" t="inlineStr">
        <is>
          <t xml:space="preserve">Kısmi gerçekleşme (Paket Limiti 2)</t>
        </is>
      </c>
      <c r="E35" s="20" t="inlineStr">
        <is>
          <t xml:space="preserve">RA + Paket Limiti: 2. İki test: İşlem Tipi Pasif ve Aktif.</t>
        </is>
      </c>
      <c r="F35" s="20" t="inlineStr">
        <is>
          <t xml:space="preserve">1. Pasif modda 2 kontratlık vadeli emrin yalnızca 1'inin dolduğu bir anı yakala
2. Spot emrini ve Paket Hareketleri'ni kontrol et; kalan 1 kontratın tahtada kalıp kalmadığına bak
3. Aynı durumu Aktif modda tekrarla</t>
        </is>
      </c>
      <c r="G35" s="20" t="inlineStr">
        <is>
          <t xml:space="preserve">Pasif: dolan her parça için ayrı paket ve ayrı spot emri (1 kontrat → 100 lot) oluşur; kalan vadeli miktar tahtada bekler. Aktif: dolmayan kısım iptal olur, spot emri yalnızca dolan miktar kadar gönderilir.</t>
        </is>
      </c>
      <c r="H35" s="19"/>
      <c r="I35" s="19" t="inlineStr">
        <is>
          <t xml:space="preserve">Takip tablosu, Pasif Emirler, Emir Geçmişi ve ilgili işlem ekranı.</t>
        </is>
      </c>
      <c r="J35" s="18" t="inlineStr">
        <is>
          <t xml:space="preserve">Test</t>
        </is>
      </c>
      <c r="K35" s="18" t="inlineStr">
        <is>
          <t xml:space="preserve">Orta</t>
        </is>
      </c>
      <c r="L35" s="20"/>
      <c r="M35" s="21"/>
    </row>
    <row r="36" spans="1:13" ht="73.5" customHeight="1" x14ac:dyDescent="0.25">
      <c r="A36" s="17" t="inlineStr">
        <is>
          <t xml:space="preserve">TC-ARB-B06</t>
        </is>
      </c>
      <c r="B36" s="18" t="inlineStr">
        <is>
          <t xml:space="preserve">Test Edilmedi</t>
        </is>
      </c>
      <c r="C36" s="19" t="inlineStr">
        <is>
          <t xml:space="preserve">Ana sanity</t>
        </is>
      </c>
      <c r="D36" s="19" t="inlineStr">
        <is>
          <t xml:space="preserve">Stop-loss Aktif: spot emrinin karşı en iyi fiyattan günlük limit gönderilmesi</t>
        </is>
      </c>
      <c r="E36" s="20" t="inlineStr">
        <is>
          <t xml:space="preserve">RA + Stop Loss Tipi: Aktif.</t>
        </is>
      </c>
      <c r="F36" s="20" t="inlineStr">
        <is>
          <t xml:space="preserve">1. Stop Loss'u Aktif yap ve kaydet
2. Bir açılışın vadeli bacağının dolmasını bekle
3. Spot emrinin tipini ve dolma süresini kaydet</t>
        </is>
      </c>
      <c r="G36" s="20" t="inlineStr">
        <is>
          <t xml:space="preserve">Spot emri beklemeden karşı taraftaki en iyi fiyattan gönderilir; Kademe ve Saniye değerleri dikkate alınmaz. Emir piyasa emri değil, karşı en iyi fiyattan günlük limit emirdir; tahta kayarsa hemen dolmayabilir.</t>
        </is>
      </c>
      <c r="H36" s="19"/>
      <c r="I36" s="19" t="inlineStr">
        <is>
          <t xml:space="preserve">Takip tablosu, Pasif Emirler, Emir Geçmişi ve ilgili işlem ekranı.</t>
        </is>
      </c>
      <c r="J36" s="18" t="inlineStr">
        <is>
          <t xml:space="preserve">Test</t>
        </is>
      </c>
      <c r="K36" s="18" t="inlineStr">
        <is>
          <t xml:space="preserve">Orta</t>
        </is>
      </c>
      <c r="L36" s="20"/>
      <c r="M36" s="21"/>
    </row>
    <row r="37" spans="1:13" x14ac:dyDescent="0.25" ht="164.0" customHeight="1">
      <c r="A37" s="17" t="inlineStr">
        <is>
          <t xml:space="preserve">TC-ARB-B07</t>
        </is>
      </c>
      <c r="B37" s="18" t="inlineStr">
        <is>
          <t xml:space="preserve">Test Edilmedi</t>
        </is>
      </c>
      <c r="C37" s="19" t="inlineStr">
        <is>
          <t xml:space="preserve">Genişletilmiş</t>
        </is>
      </c>
      <c r="D37" s="19" t="inlineStr">
        <is>
          <t xml:space="preserve">Stop Loss Kademe 0 ve Saniye 0</t>
        </is>
      </c>
      <c r="E37" s="20" t="inlineStr">
        <is>
          <t xml:space="preserve">RA + Stop Loss Kademe: 0, Saniye: 0, Tip: Pasif.</t>
        </is>
      </c>
      <c r="F37" s="20" t="inlineStr">
        <is>
          <t xml:space="preserve">1. Değerleri 0 yap ve kaydet
2. Bir açılışın vadeli bacağının dolmasını bekle
3. Spot emrinin ne kadar süre tahtada kaldığını kaydet</t>
        </is>
      </c>
      <c r="G37" s="20" t="inlineStr">
        <is>
          <t xml:space="preserve">Spot emri gönderildikten hemen sonra karşı fiyata taşınır; pratikte Stop Loss Aktif gibi davranır.</t>
        </is>
      </c>
      <c r="H37" s="19"/>
      <c r="I37" s="19" t="inlineStr">
        <is>
          <t xml:space="preserve">Takip tablosu, Pasif Emirler, Emir Geçmişi ve ilgili işlem ekranı.</t>
        </is>
      </c>
      <c r="J37" s="18" t="inlineStr">
        <is>
          <t xml:space="preserve">Test</t>
        </is>
      </c>
      <c r="K37" s="18" t="inlineStr">
        <is>
          <t xml:space="preserve">Orta</t>
        </is>
      </c>
      <c r="L37" s="20"/>
      <c r="M37" s="21"/>
    </row>
    <row r="38" spans="1:13" x14ac:dyDescent="0.25" ht="60.0" customHeight="1">
      <c r="A38" s="17" t="inlineStr">
        <is>
          <t xml:space="preserve">TC-ARB-B08</t>
        </is>
      </c>
      <c r="B38" s="18" t="inlineStr">
        <is>
          <t xml:space="preserve">Test Edilmedi</t>
        </is>
      </c>
      <c r="C38" s="19" t="inlineStr">
        <is>
          <t xml:space="preserve">Genişletilmiş</t>
        </is>
      </c>
      <c r="D38" s="19" t="inlineStr">
        <is>
          <t xml:space="preserve">Fonlama Maliyeti'nin açılış ve kapanış faizine eklenmesi</t>
        </is>
      </c>
      <c r="E38" s="20" t="inlineStr">
        <is>
          <t xml:space="preserve">RA + Opsiyonel Ayarlar'da Fonlama Maliyeti: 2.</t>
        </is>
      </c>
      <c r="F38" s="20" t="inlineStr">
        <is>
          <t xml:space="preserve">1. Fonlama Maliyeti'ni 2 yap ve kaydet
2. Pasif açılış emrinin fiyatını %37 ile hesaplayıp karşılaştır
3. Açık paket varken kapanış emrinin fiyatını %31 ile hesaplayıp karşılaştır</t>
        </is>
      </c>
      <c r="G38" s="20" t="inlineStr">
        <is>
          <t xml:space="preserve">Açılış %37 (35 + 2), kapanış %31 (29 + 2) faize karşılık gelen fiyattan yapılır.</t>
        </is>
      </c>
      <c r="H38" s="19"/>
      <c r="I38" s="19" t="inlineStr">
        <is>
          <t xml:space="preserve">Takip tablosu, Pasif Emirler, Emir Geçmişi ve ilgili işlem ekranı.</t>
        </is>
      </c>
      <c r="J38" s="18" t="inlineStr">
        <is>
          <t xml:space="preserve">Test</t>
        </is>
      </c>
      <c r="K38" s="18" t="inlineStr">
        <is>
          <t xml:space="preserve">Orta</t>
        </is>
      </c>
      <c r="L38" s="20"/>
      <c r="M38" s="21"/>
    </row>
    <row r="39" spans="1:13" x14ac:dyDescent="0.25" ht="99.0" customHeight="1">
      <c r="A39" s="17" t="inlineStr">
        <is>
          <t xml:space="preserve">TC-ARB-B09</t>
        </is>
      </c>
      <c r="B39" s="18" t="inlineStr">
        <is>
          <t xml:space="preserve">Test Edilmedi</t>
        </is>
      </c>
      <c r="C39" s="19" t="inlineStr">
        <is>
          <t xml:space="preserve">Genişletilmiş</t>
        </is>
      </c>
      <c r="D39" s="19" t="inlineStr">
        <is>
          <t xml:space="preserve">Adaptif Spread: pasif açılış emrinin kademe içine alınması</t>
        </is>
      </c>
      <c r="E39" s="20" t="inlineStr">
        <is>
          <t xml:space="preserve">RA + Adaptif Spread açık, seviye 1. Strateji duruyor.</t>
        </is>
      </c>
      <c r="F39" s="20" t="inlineStr">
        <is>
          <t xml:space="preserve">1. Strateji dururken Adaptif Spread'i aç, seviyeyi 1 yap ve kaydet
2. Stratejiyi başlat
3. Hesaplanan açılış fiyatı vadelinin alış–satış aralığının içindeyken emrin fiyatını kaydet
4. Hesaplanan fiyat aralığın dışındayken emrin fiyatını kaydet
5. Strateji çalışırken Adaptif Spread kutusunu değiştirmeyi dene</t>
        </is>
      </c>
      <c r="G39" s="20" t="inlineStr">
        <is>
          <t xml:space="preserve">Hesaplanan fiyat aralığın içindeyse vadeli satış emri en iyi satış fiyatının 1 kademe altına konur; aralığın dışındaysa hesaplanan fiyattan konur. Strateji çalışırken kutu değiştirilemez ve 'Strateji çalışırken adaptif spread ayarı değiştirilemez.' uyarısı çıkar.</t>
        </is>
      </c>
      <c r="H39" s="19"/>
      <c r="I39" s="19" t="inlineStr">
        <is>
          <t xml:space="preserve">Takip tablosu, Pasif Emirler, Emir Geçmişi ve ilgili işlem ekranı.</t>
        </is>
      </c>
      <c r="J39" s="18" t="inlineStr">
        <is>
          <t xml:space="preserve">Test</t>
        </is>
      </c>
      <c r="K39" s="18" t="inlineStr">
        <is>
          <t xml:space="preserve">Orta</t>
        </is>
      </c>
      <c r="L39" s="20"/>
      <c r="M39" s="21"/>
    </row>
    <row r="40" spans="1:13" ht="124.5" customHeight="1" x14ac:dyDescent="0.25">
      <c r="A40" s="17" t="inlineStr">
        <is>
          <t xml:space="preserve">TC-ARB-B10</t>
        </is>
      </c>
      <c r="B40" s="18" t="inlineStr">
        <is>
          <t xml:space="preserve">Test Edilmedi</t>
        </is>
      </c>
      <c r="C40" s="19" t="inlineStr">
        <is>
          <t xml:space="preserve">Genişletilmiş</t>
        </is>
      </c>
      <c r="D40" s="19" t="inlineStr">
        <is>
          <t xml:space="preserve">Kapatma Limiti kutusu kapalıyken kapanış</t>
        </is>
      </c>
      <c r="E40" s="20" t="inlineStr">
        <is>
          <t xml:space="preserve">RA + Kapatma Limiti kutusu kapalı. En az 3 açık paket.</t>
        </is>
      </c>
      <c r="F40" s="20" t="inlineStr">
        <is>
          <t xml:space="preserve">1. Kapatma Limiti kutusunu kaldır ve kaydet
2. Kapanışları izle; K.P. 2'yi geçtikten sonra kapanışın sürüp sürmediğini kontrol et
3. Tüm paketler kapanıp Vadeli Pozisyon 0 olduktan sonra stratejinin durumunu izle</t>
        </is>
      </c>
      <c r="G40" s="20" t="inlineStr">
        <is>
          <t xml:space="preserve">Kontrat Kapatma Limiti dikkate alınmaz; kapanış koşulu oluştukça tüm paketler kapatılır. Pozisyon 0 olduğunda strateji çalışmaya ve açılış emrini koymaya devam eder.</t>
        </is>
      </c>
      <c r="H40" s="19"/>
      <c r="I40" s="19" t="inlineStr">
        <is>
          <t xml:space="preserve">Takip tablosu, Pasif Emirler, Emir Geçmişi ve ilgili işlem ekranı.</t>
        </is>
      </c>
      <c r="J40" s="18" t="inlineStr">
        <is>
          <t xml:space="preserve">Test</t>
        </is>
      </c>
      <c r="K40" s="18" t="inlineStr">
        <is>
          <t xml:space="preserve">Yüksek</t>
        </is>
      </c>
      <c r="L40" s="20"/>
      <c r="M40" s="21"/>
    </row>
    <row r="41" spans="1:13" x14ac:dyDescent="0.25" ht="112.0" customHeight="1">
      <c r="A41" s="17" t="inlineStr">
        <is>
          <t xml:space="preserve">TC-ARB-B11</t>
        </is>
      </c>
      <c r="B41" s="18" t="inlineStr">
        <is>
          <t xml:space="preserve">Test Edilmedi</t>
        </is>
      </c>
      <c r="C41" s="19" t="inlineStr">
        <is>
          <t xml:space="preserve">Genişletilmiş</t>
        </is>
      </c>
      <c r="D41" s="19" t="inlineStr">
        <is>
          <t xml:space="preserve">Limitlerin 0 bırakılması</t>
        </is>
      </c>
      <c r="E41" s="20" t="inlineStr">
        <is>
          <t xml:space="preserve">RA. Üç ayrı deneme.</t>
        </is>
      </c>
      <c r="F41" s="20" t="inlineStr">
        <is>
          <t xml:space="preserve">1. Kontrat Limiti'ni 0 yap, stratejiyi başlat, emir oluşup oluşmadığını izle
2. RA'ya dön; Kontrat Kapatma Limiti'ni 0 yap (Kapatma Limiti kutusu açık), açık paket varken kapanış olup olmadığını izle
3. RA'ya dön; Paket Limiti'ni 0 yap ve ilk vadeli emrin miktarını kaydet</t>
        </is>
      </c>
      <c r="G41" s="20" t="inlineStr">
        <is>
          <t xml:space="preserve">Kontrat Limiti 0: hiç açılış yapılmaz. Kontrat Kapatma Limiti 0: hiç kapanış yapılmaz. Paket Limiti 0: tek emirdeki miktar sınırsız olur, emir Kontrat Limiti'nin kalanı kadar (4) gönderilir.</t>
        </is>
      </c>
      <c r="H41" s="19"/>
      <c r="I41" s="19" t="inlineStr">
        <is>
          <t xml:space="preserve">Takip tablosu, Pasif Emirler, Emir Geçmişi ve ilgili işlem ekranı.</t>
        </is>
      </c>
      <c r="J41" s="18" t="inlineStr">
        <is>
          <t xml:space="preserve">Test</t>
        </is>
      </c>
      <c r="K41" s="18" t="inlineStr">
        <is>
          <t xml:space="preserve">Yüksek</t>
        </is>
      </c>
      <c r="L41" s="20"/>
      <c r="M41" s="21"/>
    </row>
    <row r="42" spans="1:13" ht="99" customHeight="1" x14ac:dyDescent="0.25">
      <c r="A42" s="17" t="inlineStr">
        <is>
          <t xml:space="preserve">TC-ARB-B12</t>
        </is>
      </c>
      <c r="B42" s="18" t="inlineStr">
        <is>
          <t xml:space="preserve">Test Edilmedi</t>
        </is>
      </c>
      <c r="C42" s="19" t="inlineStr">
        <is>
          <t xml:space="preserve">Genişletilmiş</t>
        </is>
      </c>
      <c r="D42" s="19" t="inlineStr">
        <is>
          <t xml:space="preserve">Opsiyonel Ayarlar ile Spot Miktarı'nın değiştirilmesi</t>
        </is>
      </c>
      <c r="E42" s="20" t="inlineStr">
        <is>
          <t xml:space="preserve">RA. İki deneme: Opsiyonel Ayarlar işaretsiz ve işaretli.</t>
        </is>
      </c>
      <c r="F42" s="20" t="inlineStr">
        <is>
          <t xml:space="preserve">1. Opsiyonel Ayarlar işaretsizken Spot Miktarı'nı 50 yapmayı dene, kaydet; bir açılışta spot emrin miktarını kaydet
2. Opsiyonel Ayarlar'ı işaretle, Spot Miktarı 50, kaydet; bir açılışta spot emrin miktarını kaydet</t>
        </is>
      </c>
      <c r="G42" s="20" t="inlineStr">
        <is>
          <t xml:space="preserve">Kutu işaretsizken spot miktarı 100 lot kalır. Kutu işaretliyken 1 kontrat için 50 lot spot gönderilir.</t>
        </is>
      </c>
      <c r="H42" s="19"/>
      <c r="I42" s="19" t="inlineStr">
        <is>
          <t xml:space="preserve">Takip tablosu, Pasif Emirler, Emir Geçmişi ve ilgili işlem ekranı.</t>
        </is>
      </c>
      <c r="J42" s="18" t="inlineStr">
        <is>
          <t xml:space="preserve">Test</t>
        </is>
      </c>
      <c r="K42" s="18" t="inlineStr">
        <is>
          <t xml:space="preserve">Orta</t>
        </is>
      </c>
      <c r="L42" s="20"/>
      <c r="M42" s="21"/>
    </row>
    <row r="43" spans="1:13" ht="73.5" customHeight="1" x14ac:dyDescent="0.25">
      <c r="A43" s="17" t="inlineStr">
        <is>
          <t xml:space="preserve">TC-ARB-B13</t>
        </is>
      </c>
      <c r="B43" s="18" t="inlineStr">
        <is>
          <t xml:space="preserve">Test Edilmedi</t>
        </is>
      </c>
      <c r="C43" s="19" t="inlineStr">
        <is>
          <t xml:space="preserve">Genişletilmiş</t>
        </is>
      </c>
      <c r="D43" s="19" t="inlineStr">
        <is>
          <t xml:space="preserve">Kanal Fix ile emir gönderimi</t>
        </is>
      </c>
      <c r="E43" s="20" t="inlineStr">
        <is>
          <t xml:space="preserve">RA + Kanal: Fix. Test sorumlusu bu kanalın test hesabında kullanılabildiğini teyit etmiş.</t>
        </is>
      </c>
      <c r="F43" s="20" t="inlineStr">
        <is>
          <t xml:space="preserve">1. Kanal'ı Fix yap ve kaydet
2. Bir açılış gerçekleşmesini bekle
3. Emir Geçmişi'nde vadeli ve spot emirleri kontrol et</t>
        </is>
      </c>
      <c r="G43" s="20" t="inlineStr">
        <is>
          <t xml:space="preserve">Emirler seçilen Fix kanalıyla doğru hesapta görünür. Gerçekleşme oluşursa iki bacak ve paket miktarları uyumludur.</t>
        </is>
      </c>
      <c r="H43" s="19"/>
      <c r="I43" s="19" t="inlineStr">
        <is>
          <t xml:space="preserve">Takip tablosu, Pasif Emirler, Emir Geçmişi ve ilgili işlem ekranı.</t>
        </is>
      </c>
      <c r="J43" s="18" t="inlineStr">
        <is>
          <t xml:space="preserve">Test</t>
        </is>
      </c>
      <c r="K43" s="18" t="inlineStr">
        <is>
          <t xml:space="preserve">Orta</t>
        </is>
      </c>
      <c r="L43" s="20"/>
      <c r="M43" s="21"/>
    </row>
    <row r="44" spans="1:13" x14ac:dyDescent="0.25" ht="60.0" customHeight="1">
      <c r="A44" s="17" t="inlineStr">
        <is>
          <t xml:space="preserve">TC-ARB-B14</t>
        </is>
      </c>
      <c r="B44" s="18" t="inlineStr">
        <is>
          <t xml:space="preserve">Başarılı</t>
        </is>
      </c>
      <c r="C44" s="19" t="inlineStr">
        <is>
          <t xml:space="preserve">Ana sanity</t>
        </is>
      </c>
      <c r="D44" s="19" t="inlineStr">
        <is>
          <t xml:space="preserve">Strateji çalışırken ayar değiştirilmesi</t>
        </is>
      </c>
      <c r="E44" s="20" t="inlineStr">
        <is>
          <t xml:space="preserve">RA; strateji çalışıyor, tahtada pasif açılış emri var.</t>
        </is>
      </c>
      <c r="F44" s="20" t="inlineStr">
        <is>
          <t xml:space="preserve">1. Satış Hedef Faiz'i 35'ten 36'ya çıkar ve kaydet
2. Pasif açılış emrinin fiyatının değişip değişmediğini kontrol et
3. Kontrat Limiti'ni mevcut pozisyonun altına düşür ve kaydet
4. Açılış emrinin durumunu kontrol et</t>
        </is>
      </c>
      <c r="G44" s="20" t="inlineStr">
        <is>
          <t xml:space="preserve">Satış Hedef Faiz değişince pasif emir bir sonraki turda %36'ya karşılık gelen fiyata taşınır. Kontrat Limiti pozisyonun altına düşünce yeni açılış yapılmaz.</t>
        </is>
      </c>
      <c r="H44" s="19" t="inlineStr">
        <is>
          <t xml:space="preserve">Ayarları kaydedip kapattığımda belirlediğim ayarlara göre strateji kendini güncelliyor, çalışmaya devam ediyor. </t>
        </is>
      </c>
      <c r="I44" s="19" t="inlineStr">
        <is>
          <t xml:space="preserve">Takip tablosu, Pasif Emirler, Emir Geçmişi ve ilgili işlem ekranı.</t>
        </is>
      </c>
      <c r="J44" s="18" t="inlineStr">
        <is>
          <t xml:space="preserve">Test</t>
        </is>
      </c>
      <c r="K44" s="18" t="inlineStr">
        <is>
          <t xml:space="preserve">Yüksek</t>
        </is>
      </c>
      <c r="L44" s="20"/>
      <c r="M44" s="21"/>
    </row>
    <row r="45" spans="1:13" ht="99" customHeight="1" x14ac:dyDescent="0.25">
      <c r="A45" s="17" t="inlineStr">
        <is>
          <t xml:space="preserve">TC-ARB-C01</t>
        </is>
      </c>
      <c r="B45" s="18" t="inlineStr">
        <is>
          <t xml:space="preserve">Test Edilmedi</t>
        </is>
      </c>
      <c r="C45" s="19" t="inlineStr">
        <is>
          <t xml:space="preserve">Ana sanity</t>
        </is>
      </c>
      <c r="D45" s="19" t="inlineStr">
        <is>
          <t xml:space="preserve">Spread Arbitraj — Satım tarafı</t>
        </is>
      </c>
      <c r="E45" s="20" t="inlineStr">
        <is>
          <t xml:space="preserve">Spread Arbitraj çifti; Vadeli Açılış Tarafı: Satım, Açılış Kademe ve Net Kar Kademe dolu; diğerleri RA.</t>
        </is>
      </c>
      <c r="F45" s="20" t="inlineStr">
        <is>
          <t xml:space="preserve">1. Ayarları kaydet ve stratejiyi başlat
2. Tahtadaki vadeli satış emrinin fiyatını, spot en iyi satış fiyatı + Açılış Kademe × 0,01 ile karşılaştır
3. Vadeli ile spot arasındaki fark Açılış Kademe'ye eşit ve üstündeyken açılışı izle
4. Kâr Net Kar Kademe'ye ulaşınca kapanışı izle</t>
        </is>
      </c>
      <c r="G45" s="20" t="inlineStr">
        <is>
          <t xml:space="preserve">Fark Açılış Kademe'ye eşit ya da üstündeyken vadeli satılır, spot alınır. Kâr Net Kar Kademe'ye ulaşınca (eşitlik dahil) pozisyon kapanır. Faiz oranı kullanılmaz.</t>
        </is>
      </c>
      <c r="H45" s="19"/>
      <c r="I45" s="19" t="inlineStr">
        <is>
          <t xml:space="preserve">Takip tablosu, Pasif Emirler, Emir Geçmişi ve ilgili işlem ekranı.</t>
        </is>
      </c>
      <c r="J45" s="18" t="inlineStr">
        <is>
          <t xml:space="preserve">Test</t>
        </is>
      </c>
      <c r="K45" s="18" t="inlineStr">
        <is>
          <t xml:space="preserve">Yüksek</t>
        </is>
      </c>
      <c r="L45" s="20"/>
      <c r="M45" s="21"/>
    </row>
    <row r="46" spans="1:13" x14ac:dyDescent="0.25" ht="99.0" customHeight="1">
      <c r="A46" s="17" t="inlineStr">
        <is>
          <t xml:space="preserve">TC-ARB-C02</t>
        </is>
      </c>
      <c r="B46" s="18" t="inlineStr">
        <is>
          <t xml:space="preserve">Test Edilmedi</t>
        </is>
      </c>
      <c r="C46" s="19" t="inlineStr">
        <is>
          <t xml:space="preserve">Ana sanity</t>
        </is>
      </c>
      <c r="D46" s="19" t="inlineStr">
        <is>
          <t xml:space="preserve">Spread Arbitraj — Alım tarafı</t>
        </is>
      </c>
      <c r="E46" s="20" t="inlineStr">
        <is>
          <t xml:space="preserve">Spread Arbitraj çifti; Vadeli Açılış Tarafı: Alım, Açığa Satış: Serbest, Açılış Kademe ve Net Kar Kademe dolu.</t>
        </is>
      </c>
      <c r="F46" s="20" t="inlineStr">
        <is>
          <t xml:space="preserve">1. Ayarları kaydet ve stratejiyi başlat
2. Tahtadaki vadeli alış emrinin fiyatını kaydet ve spot en iyi alış fiyatı − Açılış Kademe × 0,01 ile karşılaştır
3. Fark Açılış Kademe'ye eşit ya da altındayken açılışı izle
4. Kapanışı izle
5. Açığa Satış'ı Yasak yapıp tekrar dene</t>
        </is>
      </c>
      <c r="G46" s="20" t="inlineStr">
        <is>
          <t xml:space="preserve">Açığa Satış Serbest iken fark Açılış Kademe'ye eşit ya da altındayken vadeli alınır, spot satılır; kapanış Net Kar Kademe'de yapılır. Açığa Satış Yasak iken hiç emir gönderilmez.</t>
        </is>
      </c>
      <c r="H46" s="19"/>
      <c r="I46" s="19" t="inlineStr">
        <is>
          <t xml:space="preserve">Takip tablosu, Pasif Emirler, Emir Geçmişi ve ilgili işlem ekranı.</t>
        </is>
      </c>
      <c r="J46" s="18" t="inlineStr">
        <is>
          <t xml:space="preserve">Test</t>
        </is>
      </c>
      <c r="K46" s="18" t="inlineStr">
        <is>
          <t xml:space="preserve">Yüksek</t>
        </is>
      </c>
      <c r="L46" s="20"/>
      <c r="M46" s="21"/>
    </row>
    <row r="47" spans="1:13" x14ac:dyDescent="0.25" ht="151.0" customHeight="1">
      <c r="A47" s="17" t="inlineStr">
        <is>
          <t xml:space="preserve">TC-ARB-C04</t>
        </is>
      </c>
      <c r="B47" s="18" t="inlineStr">
        <is>
          <t xml:space="preserve">Test Edilmedi</t>
        </is>
      </c>
      <c r="C47" s="19" t="inlineStr">
        <is>
          <t xml:space="preserve">Genişletilmiş</t>
        </is>
      </c>
      <c r="D47" s="19" t="inlineStr">
        <is>
          <t xml:space="preserve">Spread Arbitraj — Piyasaya Göre Kapat</t>
        </is>
      </c>
      <c r="E47" s="20" t="inlineStr">
        <is>
          <t xml:space="preserve">TC-ARB-C01 ayarları; açık paket var. İki deneme: Piyasaya Göre Kapat işaretsiz ve işaretli.</t>
        </is>
      </c>
      <c r="F47" s="20" t="inlineStr">
        <is>
          <t xml:space="preserve">1. Piyasaya Göre Kapat işaretsizken kapanış emrinin fiyatını kaydet
2. Kutuyu işaretle ve kaydet (etiket 'Kapanış Kademesi' olur)
3. Kapanış emrinin fiyatını spot en iyi alış − Kapanış Kademesi × 0,01 ile karşılaştır</t>
        </is>
      </c>
      <c r="G47" s="20" t="inlineStr">
        <is>
          <t xml:space="preserve">İşaretsizken kapanış fiyatı paketin açılış fiyatlarına göre, işaretliyken güncel spot fiyata göre kurulur.</t>
        </is>
      </c>
      <c r="H47" s="19"/>
      <c r="I47" s="19" t="inlineStr">
        <is>
          <t xml:space="preserve">Takip tablosu, Pasif Emirler, Emir Geçmişi ve ilgili işlem ekranı.</t>
        </is>
      </c>
      <c r="J47" s="18" t="inlineStr">
        <is>
          <t xml:space="preserve">Test</t>
        </is>
      </c>
      <c r="K47" s="18" t="inlineStr">
        <is>
          <t xml:space="preserve">Orta</t>
        </is>
      </c>
      <c r="L47" s="20"/>
      <c r="M47" s="21"/>
    </row>
    <row r="48" spans="1:13" x14ac:dyDescent="0.25" ht="86.0" customHeight="1">
      <c r="A48" s="17" t="inlineStr">
        <is>
          <t xml:space="preserve">TC-ARB-C05</t>
        </is>
      </c>
      <c r="B48" s="18" t="inlineStr">
        <is>
          <t xml:space="preserve">Test Edilmedi</t>
        </is>
      </c>
      <c r="C48" s="19" t="inlineStr">
        <is>
          <t xml:space="preserve">Ana sanity</t>
        </is>
      </c>
      <c r="D48" s="19" t="inlineStr">
        <is>
          <t xml:space="preserve">Çift Vade Spread</t>
        </is>
      </c>
      <c r="E48" s="20" t="inlineStr">
        <is>
          <t xml:space="preserve">Çift Vade Spread çifti (Vade Seçimi: 1. ve 2. vade); Vadeli Açılış Tarafı: Satım; Açılış Kademe ve Net Kar Kademe dolu; Açığa Satış: Yasak.</t>
        </is>
      </c>
      <c r="F48" s="20" t="inlineStr">
        <is>
          <t xml:space="preserve">1. Ayarları kaydet ve stratejiyi başlat
2. İki vade arasındaki fark (kademe cinsinden) Açılış Kademe'ye ulaşınca açılışı izle
3. Hangi vadenin satıldığını, hangisinin alındığını ve miktarları kaydet
4. Vadeli Açılış Tarafı'nı Alım yapıp tekrarla</t>
        </is>
      </c>
      <c r="G48" s="20" t="inlineStr">
        <is>
          <t xml:space="preserve">Satım: 2. vade satılır, 1. vade alınır; Alım: tersi. İki bacak aynı kontrat miktarındadır. Açığa Satış Yasak olsa bile işlem yapılır. Kapanış Net Kar Kademe'de yapılır.</t>
        </is>
      </c>
      <c r="H48" s="19"/>
      <c r="I48" s="19" t="inlineStr">
        <is>
          <t xml:space="preserve">Takip tablosu, Pasif Emirler, Emir Geçmişi ve ilgili işlem ekranı.</t>
        </is>
      </c>
      <c r="J48" s="18" t="inlineStr">
        <is>
          <t xml:space="preserve">Test</t>
        </is>
      </c>
      <c r="K48" s="18" t="inlineStr">
        <is>
          <t xml:space="preserve">Yüksek</t>
        </is>
      </c>
      <c r="L48" s="20" t="inlineStr">
        <is>
          <t xml:space="preserve">İki bacağın beklenen miktarını işlemden önce kaydedin. Çift Vade türlerinde varsayılan çarpan 1; kullanıcı değiştirebilir.</t>
        </is>
      </c>
      <c r="M48" s="21"/>
    </row>
    <row r="49" spans="1:13" ht="86.25" customHeight="1" x14ac:dyDescent="0.25">
      <c r="A49" s="17" t="inlineStr">
        <is>
          <t xml:space="preserve">TC-ARB-C06</t>
        </is>
      </c>
      <c r="B49" s="18" t="inlineStr">
        <is>
          <t xml:space="preserve">Test Edilmedi</t>
        </is>
      </c>
      <c r="C49" s="19" t="inlineStr">
        <is>
          <t xml:space="preserve">Ana sanity</t>
        </is>
      </c>
      <c r="D49" s="19" t="inlineStr">
        <is>
          <t xml:space="preserve">Çift Vade Faiz</t>
        </is>
      </c>
      <c r="E49" s="20" t="inlineStr">
        <is>
          <t xml:space="preserve">Çift Vade Faiz çifti (1. ve 2. vade); Satış Hedef Faiz ve Satış Kapatma Faiz dolu; İşlem Tipi Pasif.</t>
        </is>
      </c>
      <c r="F49" s="20" t="inlineStr">
        <is>
          <t xml:space="preserve">1. Ayarları kaydet ve stratejiyi başlat
2. Tahtadaki emrin yönünü ve fiyatını kaydet
3. Beklenen fiyatı hesapla: (1 + Satış Hedef Faiz / 100 × İki vade arasındaki gün farkı / 365) × Diğer vadenin en iyi fiyatı
4. Açılış ve kapanışı izle</t>
        </is>
      </c>
      <c r="G49" s="20" t="inlineStr">
        <is>
          <t xml:space="preserve">Faiz Arbitraj'la aynı mantık; spot yerine diğer vade kullanılır. Süre, iki vadenin bitiş tarihleri arasındaki takvim günü farkıdır. İki bacak aynı kontrat miktarındadır.</t>
        </is>
      </c>
      <c r="H49" s="19"/>
      <c r="I49" s="19" t="inlineStr">
        <is>
          <t xml:space="preserve">Takip tablosu, Pasif Emirler, Emir Geçmişi ve ilgili işlem ekranı.</t>
        </is>
      </c>
      <c r="J49" s="18" t="inlineStr">
        <is>
          <t xml:space="preserve">Test</t>
        </is>
      </c>
      <c r="K49" s="18" t="inlineStr">
        <is>
          <t xml:space="preserve">Yüksek</t>
        </is>
      </c>
      <c r="L49" s="20" t="inlineStr">
        <is>
          <t xml:space="preserve">İki vadenin tarihlerini ve beklenen kontrat miktarını kaydedin. Varsayılan çarpan 1; kullanıcı değiştirebilir.</t>
        </is>
      </c>
      <c r="M49" s="21"/>
    </row>
    <row r="50" spans="1:13" ht="86.25" customHeight="1" x14ac:dyDescent="0.25">
      <c r="A50" s="17" t="inlineStr">
        <is>
          <t xml:space="preserve">TC-ARB-C07</t>
        </is>
      </c>
      <c r="B50" s="18" t="inlineStr">
        <is>
          <t xml:space="preserve">Test Edilmedi</t>
        </is>
      </c>
      <c r="C50" s="19" t="inlineStr">
        <is>
          <t xml:space="preserve">Ana sanity</t>
        </is>
      </c>
      <c r="D50" s="19" t="inlineStr">
        <is>
          <t xml:space="preserve">Çift Vade'de aynı vadenin seçilememesi</t>
        </is>
      </c>
      <c r="E50" s="20" t="inlineStr">
        <is>
          <t xml:space="preserve">Strateji Ayarları sayfası; Strateji Türü: Çift Vade Spread ya da Çift Vade Faiz.</t>
        </is>
      </c>
      <c r="F50" s="20" t="inlineStr">
        <is>
          <t xml:space="preserve">1. Vade Seçimi'nde iki açılır listeye aynı vadeyi seçmeyi dene
2. Kaydedilen çiftin bacaklarını takip tablosunda kontrol et</t>
        </is>
      </c>
      <c r="G50" s="20" t="inlineStr">
        <is>
          <t xml:space="preserve">Aynı vade iki kez seçilemez; ekran seçimi otomatik düzeltir. Kaydedilen çiftte iki farklı vade görünür.</t>
        </is>
      </c>
      <c r="H50" s="19"/>
      <c r="I50" s="19" t="inlineStr">
        <is>
          <t xml:space="preserve">Takip tablosu, Pasif Emirler, Emir Geçmişi ve ilgili işlem ekranı.</t>
        </is>
      </c>
      <c r="J50" s="18" t="inlineStr">
        <is>
          <t xml:space="preserve">Test</t>
        </is>
      </c>
      <c r="K50" s="18" t="inlineStr">
        <is>
          <t xml:space="preserve">Orta</t>
        </is>
      </c>
      <c r="L50" s="20"/>
      <c r="M50" s="21"/>
    </row>
    <row r="51" spans="1:13" ht="86.25" customHeight="1" x14ac:dyDescent="0.25">
      <c r="A51" s="17" t="inlineStr">
        <is>
          <t xml:space="preserve">TC-ARB-D01</t>
        </is>
      </c>
      <c r="B51" s="18" t="inlineStr">
        <is>
          <t xml:space="preserve">Test Edilmedi</t>
        </is>
      </c>
      <c r="C51" s="19" t="inlineStr">
        <is>
          <t xml:space="preserve">Ana sanity</t>
        </is>
      </c>
      <c r="D51" s="19" t="inlineStr">
        <is>
          <t xml:space="preserve">Teorik fiyatın doğrulanması</t>
        </is>
      </c>
      <c r="E51" s="20" t="inlineStr">
        <is>
          <t xml:space="preserve">Faiz Arbitraj çifti; Baz Faiz 40; referans değerler not edilmiş.</t>
        </is>
      </c>
      <c r="F51" s="20" t="inlineStr">
        <is>
          <t xml:space="preserve">1. Sağ tık ▸ Arbitraj Hareketleri'nde Teorik Fiyat'ı kaydet
2. Aynı anda spotun son işlem fiyatını ve takip tablosundaki V.K.G.'yi kaydet
3. Elle hesapla: Spot son işlem fiyatı × (1 + 40 / 100 × Vadeye kalan gün / 365)</t>
        </is>
      </c>
      <c r="G51" s="20" t="inlineStr">
        <is>
          <t xml:space="preserve">Ekrandaki teorik fiyat elle hesaplanan değerle aynıdır (kuruş yuvarlaması hariç).</t>
        </is>
      </c>
      <c r="H51" s="19"/>
      <c r="I51" s="19" t="inlineStr">
        <is>
          <t xml:space="preserve">Takip tablosu, Pasif Emirler, Emir Geçmişi ve ilgili işlem ekranı.</t>
        </is>
      </c>
      <c r="J51" s="18" t="inlineStr">
        <is>
          <t xml:space="preserve">Test</t>
        </is>
      </c>
      <c r="K51" s="18" t="inlineStr">
        <is>
          <t xml:space="preserve">Orta</t>
        </is>
      </c>
      <c r="L51" s="20"/>
      <c r="M51" s="21"/>
    </row>
    <row r="52" spans="1:13" x14ac:dyDescent="0.25" ht="73.0" customHeight="1">
      <c r="A52" s="17" t="inlineStr">
        <is>
          <t xml:space="preserve">TC-ARB-D02</t>
        </is>
      </c>
      <c r="B52" s="18" t="inlineStr">
        <is>
          <t xml:space="preserve">Test Edilmedi</t>
        </is>
      </c>
      <c r="C52" s="19" t="inlineStr">
        <is>
          <t xml:space="preserve">Ana sanity</t>
        </is>
      </c>
      <c r="D52" s="19" t="inlineStr">
        <is>
          <t xml:space="preserve">Piyasadaki faizin (P.A.F. / A.A.F.) doğrulanması</t>
        </is>
      </c>
      <c r="E52" s="20" t="inlineStr">
        <is>
          <t xml:space="preserve">Faiz Arbitraj çifti.</t>
        </is>
      </c>
      <c r="F52" s="20" t="inlineStr">
        <is>
          <t xml:space="preserve">1. Takip tablosunda A.A.F.'yi ve aynı anda vadeli en iyi alış ile spot en iyi satış fiyatlarını kaydet
2. Elle hesapla: (Vadeli en iyi alış / Spot en iyi satış − 1) ÷ (Vadeye kalan gün / 365) × 100
3. P.A.F. için vadeli en iyi satış ve spot en iyi satış ile tekrarla</t>
        </is>
      </c>
      <c r="G52" s="20" t="inlineStr">
        <is>
          <t xml:space="preserve">Ekrandaki faiz değerleri elle hesaplanan değerlerle aynıdır.</t>
        </is>
      </c>
      <c r="H52" s="19"/>
      <c r="I52" s="19" t="inlineStr">
        <is>
          <t xml:space="preserve">Takip tablosu, Pasif Emirler, Emir Geçmişi ve ilgili işlem ekranı.</t>
        </is>
      </c>
      <c r="J52" s="18" t="inlineStr">
        <is>
          <t xml:space="preserve">Test</t>
        </is>
      </c>
      <c r="K52" s="18" t="inlineStr">
        <is>
          <t xml:space="preserve">Orta</t>
        </is>
      </c>
      <c r="L52" s="20"/>
      <c r="M52" s="21"/>
    </row>
    <row r="53" spans="1:13" x14ac:dyDescent="0.25" ht="203.0" customHeight="1">
      <c r="A53" s="17" t="inlineStr">
        <is>
          <t xml:space="preserve">TC-ARB-D03</t>
        </is>
      </c>
      <c r="B53" s="18" t="inlineStr">
        <is>
          <t xml:space="preserve">Kısmen</t>
        </is>
      </c>
      <c r="C53" s="19" t="inlineStr">
        <is>
          <t xml:space="preserve">Genişletilmiş</t>
        </is>
      </c>
      <c r="D53" s="19" t="inlineStr">
        <is>
          <t xml:space="preserve">Vadeye kalan gün hesabı</t>
        </is>
      </c>
      <c r="E53" s="20" t="inlineStr">
        <is>
          <t xml:space="preserve">Faiz Arbitraj çifti.</t>
        </is>
      </c>
      <c r="F53" s="20" t="inlineStr">
        <is>
          <t xml:space="preserve">1. Takip tablosunda V.K.G.'yi kaydet
2. Vade tarihine kadar takvim gününü elle say
3. Bugünden ve vade tarihinden sonraki ikişer iş gününü (hafta sonu ve resmi tatiller hariç) not et</t>
        </is>
      </c>
      <c r="G53" s="20" t="inlineStr">
        <is>
          <t xml:space="preserve">Ekrandaki V.K.G. vade tarihine kalan günü gösterir. Faiz hesabında kullanılan süre, tatil ve takas günlerinden etkilenebilir; iki değeri ayrı kaydedip onaylı hesapla karşılaştırın.</t>
        </is>
      </c>
      <c r="H53" s="19" t="inlineStr">
        <is>
          <t xml:space="preserve">Vadeye kalan gün doğru hesaplanıyğor. </t>
        </is>
      </c>
      <c r="I53" s="19" t="inlineStr">
        <is>
          <t xml:space="preserve">Takip tablosu, Pasif Emirler, Emir Geçmişi ve ilgili işlem ekranı.</t>
        </is>
      </c>
      <c r="J53" s="18" t="inlineStr">
        <is>
          <t xml:space="preserve">Test</t>
        </is>
      </c>
      <c r="K53" s="18" t="inlineStr">
        <is>
          <t xml:space="preserve">Orta</t>
        </is>
      </c>
      <c r="L53" s="20" t="inlineStr">
        <is>
          <t xml:space="preserve">Önceki gözlem: ekrandaki gün sayısı doğru bulunmuş.</t>
        </is>
      </c>
      <c r="M53" s="21"/>
    </row>
    <row r="54" spans="1:13" ht="86.25" customHeight="1" x14ac:dyDescent="0.25">
      <c r="A54" s="17" t="inlineStr">
        <is>
          <t xml:space="preserve">TC-ARB-E01</t>
        </is>
      </c>
      <c r="B54" s="18" t="inlineStr">
        <is>
          <t xml:space="preserve">Test Ediliyor</t>
        </is>
      </c>
      <c r="C54" s="19" t="inlineStr">
        <is>
          <t xml:space="preserve">Ana sanity</t>
        </is>
      </c>
      <c r="D54" s="19" t="inlineStr">
        <is>
          <t xml:space="preserve">Stratejinin durdurulması</t>
        </is>
      </c>
      <c r="E54" s="20" t="inlineStr">
        <is>
          <t xml:space="preserve">RA; açık paket var, tahtada vadeli açılış/kapanış emri ve beklemede spot emri var.</t>
        </is>
      </c>
      <c r="F54" s="20" t="inlineStr">
        <is>
          <t xml:space="preserve">1. Satırdaki ⏸ ile stratejiyi durdur
2. Pasif Emirler panelini ve Emir Geçmişi'ni kontrol et
3. Paket Hareketleri'ni ve pozisyonları kontrol et</t>
        </is>
      </c>
      <c r="G54" s="20" t="inlineStr">
        <is>
          <t xml:space="preserve">Strateji durmuş görünür ve yeni açılış yapmaz. Bekleyen vadeli emirler iptal edilir; mevcut paketler ve gerçekleşmiş pozisyon korunur. Kalan emir ve pozisyon miktarları test kaydına yazılır.</t>
        </is>
      </c>
      <c r="H54" s="19"/>
      <c r="I54" s="19" t="inlineStr">
        <is>
          <t xml:space="preserve">Takip tablosu, Pasif Emirler, Emir Geçmişi ve ilgili işlem ekranı.</t>
        </is>
      </c>
      <c r="J54" s="18" t="inlineStr">
        <is>
          <t xml:space="preserve">Test</t>
        </is>
      </c>
      <c r="K54" s="18" t="inlineStr">
        <is>
          <t xml:space="preserve">Yüksek</t>
        </is>
      </c>
      <c r="L54" s="20" t="inlineStr">
        <is>
          <t xml:space="preserve">Durdurmak, tüm pozisyonları kapatmak değildir. Kalan emir, paket ve pozisyonları kaydedin.</t>
        </is>
      </c>
      <c r="M54" s="21"/>
    </row>
    <row r="55" spans="1:13" x14ac:dyDescent="0.25" ht="99.0" customHeight="1">
      <c r="A55" s="17" t="inlineStr">
        <is>
          <t xml:space="preserve">TC-ARB-E02</t>
        </is>
      </c>
      <c r="B55" s="18" t="inlineStr">
        <is>
          <t xml:space="preserve">Başarılı</t>
        </is>
      </c>
      <c r="C55" s="19" t="inlineStr">
        <is>
          <t xml:space="preserve">Ana sanity</t>
        </is>
      </c>
      <c r="D55" s="19" t="inlineStr">
        <is>
          <t xml:space="preserve">Durdurulan stratejinin yeniden başlatılması</t>
        </is>
      </c>
      <c r="E55" s="20" t="inlineStr">
        <is>
          <t xml:space="preserve">TC-ARB-E01 sonrası.</t>
        </is>
      </c>
      <c r="F55" s="20" t="inlineStr">
        <is>
          <t xml:space="preserve">1. Stratejiyi ▶ ile başlat
2. Paket Hareketleri'nde paketlerin korunduğunu kontrol et
3. K.P. değerini kontrol et
4. Pasif açılış ve kapanış emirlerinin yeniden konduğunu kontrol et</t>
        </is>
      </c>
      <c r="G55" s="20" t="inlineStr">
        <is>
          <t xml:space="preserve">Paketler ve pozisyon aynen devam eder. K.P. sıfırlanmaz. Pasif emirler güncel fiyatlarla yeniden tahtaya konur.</t>
        </is>
      </c>
      <c r="H55" s="19"/>
      <c r="I55" s="19" t="inlineStr">
        <is>
          <t xml:space="preserve">Takip tablosu, Pasif Emirler, Emir Geçmişi ve ilgili işlem ekranı.</t>
        </is>
      </c>
      <c r="J55" s="18" t="inlineStr">
        <is>
          <t xml:space="preserve">Test</t>
        </is>
      </c>
      <c r="K55" s="18" t="inlineStr">
        <is>
          <t xml:space="preserve">Yüksek</t>
        </is>
      </c>
      <c r="L55" s="20"/>
      <c r="M55" s="21"/>
    </row>
    <row r="56" spans="1:13" x14ac:dyDescent="0.25" ht="151.0" customHeight="1">
      <c r="A56" s="17" t="inlineStr">
        <is>
          <t xml:space="preserve">TC-ARB-E04</t>
        </is>
      </c>
      <c r="B56" s="18" t="inlineStr">
        <is>
          <t xml:space="preserve">Test Edilmedi</t>
        </is>
      </c>
      <c r="C56" s="19" t="inlineStr">
        <is>
          <t xml:space="preserve">Genişletilmiş</t>
        </is>
      </c>
      <c r="D56" s="19" t="inlineStr">
        <is>
          <t xml:space="preserve">Sürekli müzayede dışına çıkılınca durma</t>
        </is>
      </c>
      <c r="E56" s="20" t="inlineStr">
        <is>
          <t xml:space="preserve">RA + Bitiş saati 18:30.</t>
        </is>
      </c>
      <c r="F56" s="20" t="inlineStr">
        <is>
          <t xml:space="preserve">1. Test gününün sürekli müzayede bitiş saatini not edin; strateji bitişini daha ileri bir saate ayarlayın.
2. Seans bitince çalışma durumunu ve bekleyen vadeli emirleri kontrol edin.
3. Seans yeniden açılırsa stratejinin kendiliğinden başlayıp başlamadığını kaydedin.</t>
        </is>
      </c>
      <c r="G56" s="20" t="inlineStr">
        <is>
          <t xml:space="preserve">Spot bacağın sürekli müzayedesi bittiği an strateji durur ve vadeli emirler iptal edilir. Seans tekrar başlasa bile strateji kendiliğinden devam etmez.</t>
        </is>
      </c>
      <c r="H56" s="19"/>
      <c r="I56" s="19" t="inlineStr">
        <is>
          <t xml:space="preserve">Takip tablosu, Pasif Emirler, Emir Geçmişi ve ilgili işlem ekranı.</t>
        </is>
      </c>
      <c r="J56" s="18" t="inlineStr">
        <is>
          <t xml:space="preserve">Test</t>
        </is>
      </c>
      <c r="K56" s="18" t="inlineStr">
        <is>
          <t xml:space="preserve">Orta</t>
        </is>
      </c>
      <c r="L56" s="20"/>
      <c r="M56" s="21"/>
    </row>
    <row r="57" spans="1:13" ht="111.75" customHeight="1" x14ac:dyDescent="0.25">
      <c r="A57" s="17" t="inlineStr">
        <is>
          <t xml:space="preserve">TC-ARB-E05</t>
        </is>
      </c>
      <c r="B57" s="18" t="inlineStr">
        <is>
          <t xml:space="preserve">Test Edilmedi</t>
        </is>
      </c>
      <c r="C57" s="19" t="inlineStr">
        <is>
          <t xml:space="preserve">Genişletilmiş</t>
        </is>
      </c>
      <c r="D57" s="19" t="inlineStr">
        <is>
          <t xml:space="preserve">Spotun tavan veya tabana değmesi</t>
        </is>
      </c>
      <c r="E57" s="20" t="inlineStr">
        <is>
          <t xml:space="preserve">RA. Gün içinde tavan/taban fiyatına yaklaşan bir hisse (fırsat bulunursa).</t>
        </is>
      </c>
      <c r="F57" s="20" t="inlineStr">
        <is>
          <t xml:space="preserve">1. Spot en iyi alış tavan fiyatına değdiğinde ya da en iyi satış taban fiyatına indiğinde (eşit ya da altında) stratejinin durumunu kaydet</t>
        </is>
      </c>
      <c r="G57" s="20" t="inlineStr">
        <is>
          <t xml:space="preserve">Strateji kendini durdurur ve vadeli emirler iptal edilir.</t>
        </is>
      </c>
      <c r="H57" s="19"/>
      <c r="I57" s="19" t="inlineStr">
        <is>
          <t xml:space="preserve">Takip tablosu, Pasif Emirler, Emir Geçmişi ve ilgili işlem ekranı.</t>
        </is>
      </c>
      <c r="J57" s="18" t="inlineStr">
        <is>
          <t xml:space="preserve">Test</t>
        </is>
      </c>
      <c r="K57" s="18" t="inlineStr">
        <is>
          <t xml:space="preserve">Az</t>
        </is>
      </c>
      <c r="L57" s="20"/>
      <c r="M57" s="21"/>
    </row>
    <row r="58" spans="1:13" x14ac:dyDescent="0.25" ht="112.0" customHeight="1">
      <c r="A58" s="17" t="inlineStr">
        <is>
          <t xml:space="preserve">TC-ARB-F01</t>
        </is>
      </c>
      <c r="B58" s="18" t="inlineStr">
        <is>
          <t xml:space="preserve">Test Edilmedi</t>
        </is>
      </c>
      <c r="C58" s="19" t="inlineStr">
        <is>
          <t xml:space="preserve">Ana sanity</t>
        </is>
      </c>
      <c r="D58" s="19" t="inlineStr">
        <is>
          <t xml:space="preserve">Çift ekleme (Faiz / Spread)</t>
        </is>
      </c>
      <c r="E58" s="20" t="inlineStr">
        <is>
          <t xml:space="preserve">Arbitraj panelinde çift ekleme penceresi açık; test hesabı, geçerli vadeli ve dayanak seçilmiş.</t>
        </is>
      </c>
      <c r="F58" s="20" t="inlineStr">
        <is>
          <t xml:space="preserve">1. Hesap, vadeli, dayanak, strateji kimliği ve türü seçip kaydedin.
2. Yeni çiftin takip tablosunda göründüğünü ve sayfa yenilenince korunduğunu kontrol edin.
3. Ayrı denemede zorunlu bir alanı boş bırakıp kaydetmeyi deneyin.
4. Strateji kimliği için ekrandaki uzunluk kısıtını deneyip mesajı kaydedin.</t>
        </is>
      </c>
      <c r="G58" s="20" t="inlineStr">
        <is>
          <t xml:space="preserve">Geçerli çift kaydedilir ve yenileme sonrası görünür. Eksik/geçersiz girişte kayıt engellenir ve kullanıcı anlaşılır biçimde bilgilendirilir.</t>
        </is>
      </c>
      <c r="H58" s="19"/>
      <c r="I58" s="19" t="inlineStr">
        <is>
          <t xml:space="preserve">Takip tablosu, Pasif Emirler, Emir Geçmişi ve ilgili işlem ekranı.</t>
        </is>
      </c>
      <c r="J58" s="18" t="inlineStr">
        <is>
          <t xml:space="preserve">Test</t>
        </is>
      </c>
      <c r="K58" s="18" t="inlineStr">
        <is>
          <t xml:space="preserve">Yüksek</t>
        </is>
      </c>
      <c r="L58" s="20"/>
      <c r="M58" s="21"/>
    </row>
    <row r="59" spans="1:13" x14ac:dyDescent="0.25" ht="99.0" customHeight="1">
      <c r="A59" s="17" t="inlineStr">
        <is>
          <t xml:space="preserve">TC-ARB-F02</t>
        </is>
      </c>
      <c r="B59" s="18" t="inlineStr">
        <is>
          <t xml:space="preserve">Test Edilmedi</t>
        </is>
      </c>
      <c r="C59" s="19" t="inlineStr">
        <is>
          <t xml:space="preserve">Ana sanity</t>
        </is>
      </c>
      <c r="D59" s="19" t="inlineStr">
        <is>
          <t xml:space="preserve">Aynı çiftin tekrar eklenmesi</t>
        </is>
      </c>
      <c r="E59" s="20" t="inlineStr">
        <is>
          <t xml:space="preserve">Takip tablosunda kayıtlı bir çift.</t>
        </is>
      </c>
      <c r="F59" s="20" t="inlineStr">
        <is>
          <t xml:space="preserve">1. Aynı vadeli, dayanak ve Strateji Id ile çifti tekrar eklemeyi dene
2. Takip tablosunu ve sayfa yenilendikten sonraki durumu kontrol et</t>
        </is>
      </c>
      <c r="G59" s="20" t="inlineStr">
        <is>
          <t xml:space="preserve">Mükerrer çift eklenemez ve kullanıcı uyarılır.</t>
        </is>
      </c>
      <c r="H59" s="19"/>
      <c r="I59" s="19" t="inlineStr">
        <is>
          <t xml:space="preserve">Takip tablosu, Pasif Emirler, Emir Geçmişi ve ilgili işlem ekranı.</t>
        </is>
      </c>
      <c r="J59" s="18" t="inlineStr">
        <is>
          <t xml:space="preserve">Test</t>
        </is>
      </c>
      <c r="K59" s="18" t="inlineStr">
        <is>
          <t xml:space="preserve">Orta</t>
        </is>
      </c>
      <c r="L59" s="20"/>
      <c r="M59" s="21"/>
    </row>
    <row r="60" spans="1:13" x14ac:dyDescent="0.25" ht="112.0" customHeight="1">
      <c r="A60" s="17" t="inlineStr">
        <is>
          <t xml:space="preserve">TC-ARB-F03</t>
        </is>
      </c>
      <c r="B60" s="18" t="inlineStr">
        <is>
          <t xml:space="preserve">Başarılı</t>
        </is>
      </c>
      <c r="C60" s="19" t="inlineStr">
        <is>
          <t xml:space="preserve">Ana sanity</t>
        </is>
      </c>
      <c r="D60" s="19" t="inlineStr">
        <is>
          <t xml:space="preserve">Vadesi geçmiş kontratla çift eklenmesi</t>
        </is>
      </c>
      <c r="E60" s="20" t="inlineStr">
        <is>
          <t xml:space="preserve">Vadesi geçmiş bir kontratın listede görünüp görünmediği.</t>
        </is>
      </c>
      <c r="F60" s="20" t="inlineStr">
        <is>
          <t xml:space="preserve">1. Vadeli listesinde vadesi geçmiş bir kontrat ara
2. Varsa seçip kaydetmeyi dene</t>
        </is>
      </c>
      <c r="G60" s="20" t="inlineStr">
        <is>
          <t xml:space="preserve">Vadesi geçmiş kontratlar listede görünmez ya da seçildiğinde kayıt engellenir.</t>
        </is>
      </c>
      <c r="H60" s="19" t="inlineStr">
        <is>
          <t xml:space="preserve">Vadesi geçmiş bir kontrat hiçbir şekilde listeye eklenmiyor. Kullanıcıya panele eklenemediğine dair enstrüman kimliği değerini gösteriyoruz. </t>
        </is>
      </c>
      <c r="I60" s="19" t="inlineStr">
        <is>
          <t xml:space="preserve">Takip tablosu, Pasif Emirler, Emir Geçmişi ve ilgili işlem ekranı.</t>
        </is>
      </c>
      <c r="J60" s="18" t="inlineStr">
        <is>
          <t xml:space="preserve">Test</t>
        </is>
      </c>
      <c r="K60" s="18" t="inlineStr">
        <is>
          <t xml:space="preserve">Az</t>
        </is>
      </c>
      <c r="L60" s="20" t="inlineStr">
        <is>
          <t xml:space="preserve">Önceki gözlemde yalnız terimler sadeleştirildi; sonuç ve anlam korunmuştur.</t>
        </is>
      </c>
      <c r="M60" s="21"/>
    </row>
    <row r="61" spans="1:13" x14ac:dyDescent="0.25" ht="112.0" customHeight="1">
      <c r="A61" s="17" t="inlineStr">
        <is>
          <t xml:space="preserve">TC-ARB-F05</t>
        </is>
      </c>
      <c r="B61" s="18" t="inlineStr">
        <is>
          <t xml:space="preserve">Kısmen</t>
        </is>
      </c>
      <c r="C61" s="19" t="inlineStr">
        <is>
          <t xml:space="preserve">Ana sanity</t>
        </is>
      </c>
      <c r="D61" s="19" t="inlineStr">
        <is>
          <t xml:space="preserve">Ayarların kaydedilip geri okunması</t>
        </is>
      </c>
      <c r="E61" s="20" t="inlineStr">
        <is>
          <t xml:space="preserve">Kayıtlı ayarı olan ve olmayan birer çift.</t>
        </is>
      </c>
      <c r="F61" s="20" t="inlineStr">
        <is>
          <t xml:space="preserve">1. Ayar verisi bulunmayan/hazır olmayan çiftte ayar açmayı dene; bildirimi kaydet
2. Ayar verisi hazır bir çiftte seçili alanları değiştirip kaydet
3. Pencereyi kapatıp aç; değerleri karşılaştır
4. Sayfayı yenileyip aynı alanları tekrar karşılaştır</t>
        </is>
      </c>
      <c r="G61" s="20" t="inlineStr">
        <is>
          <t xml:space="preserve">Ayarı hazır olmayan çiftte kullanıcı bilgilendirilir. Geçerli değişiklik kaydedilir; pencereyi tekrar açınca ve sayfayı yenileyince aynı değerler görünür. Başarısız işlem başarı olarak gösterilmez.</t>
        </is>
      </c>
      <c r="H61" s="19" t="inlineStr">
        <is>
          <t xml:space="preserve">Ayarlar başarılı bir şekilde kaydediliyor. </t>
        </is>
      </c>
      <c r="I61" s="19" t="inlineStr">
        <is>
          <t xml:space="preserve">Takip tablosu, Pasif Emirler, Emir Geçmişi ve ilgili işlem ekranı.</t>
        </is>
      </c>
      <c r="J61" s="18" t="inlineStr">
        <is>
          <t xml:space="preserve">Test</t>
        </is>
      </c>
      <c r="K61" s="18" t="inlineStr">
        <is>
          <t xml:space="preserve">Orta</t>
        </is>
      </c>
      <c r="L61" s="20" t="inlineStr">
        <is>
          <t xml:space="preserve">Önceki gözlem: ayarlar kaydedilmiş. Bekleyen: ayarı hazır olmayan çiftte uyarı, pencereyi yeniden açma ve sayfa yenileme sonrası değer karşılaştırması.</t>
        </is>
      </c>
      <c r="M61" s="21"/>
    </row>
    <row r="62" spans="1:13" x14ac:dyDescent="0.25" ht="112.0" customHeight="1">
      <c r="A62" s="17" t="inlineStr">
        <is>
          <t xml:space="preserve">TC-ARB-F07</t>
        </is>
      </c>
      <c r="B62" s="18" t="inlineStr">
        <is>
          <t xml:space="preserve">Test Edilmedi</t>
        </is>
      </c>
      <c r="C62" s="19" t="inlineStr">
        <is>
          <t xml:space="preserve">Ana sanity</t>
        </is>
      </c>
      <c r="D62" s="19" t="inlineStr">
        <is>
          <t xml:space="preserve">Toplu başlat / durdur</t>
        </is>
      </c>
      <c r="E62" s="20" t="inlineStr">
        <is>
          <t xml:space="preserve">Bir kısmı çalışan, bir kısmı durmuş birkaç çift.</t>
        </is>
      </c>
      <c r="F62" s="20" t="inlineStr">
        <is>
          <t xml:space="preserve">1. Çalışan ve duran çiftleri birlikte seç
2. Başlıktaki ▶/⏸ toplu butonuna bas
3. Her satırın son durumunu kaydet</t>
        </is>
      </c>
      <c r="G62" s="20" t="inlineStr">
        <is>
          <t xml:space="preserve">Çalışan ve durmuş çiftler birlikte seçildiğinde seçilenler başlatılır; hepsi çalışırken toplu işlem durdurur. Her satırın durumu sonuç bildirimiyle uyumludur; kısmi başarısızlık tam başarı gösterilmez.</t>
        </is>
      </c>
      <c r="H62" s="19"/>
      <c r="I62" s="19" t="inlineStr">
        <is>
          <t xml:space="preserve">Takip tablosu, Pasif Emirler, Emir Geçmişi ve ilgili işlem ekranı.</t>
        </is>
      </c>
      <c r="J62" s="18" t="inlineStr">
        <is>
          <t xml:space="preserve">Test</t>
        </is>
      </c>
      <c r="K62" s="18" t="inlineStr">
        <is>
          <t xml:space="preserve">Orta</t>
        </is>
      </c>
      <c r="L62" s="20"/>
      <c r="M62" s="21"/>
    </row>
    <row r="63" spans="1:13" x14ac:dyDescent="0.25" ht="112.0" customHeight="1">
      <c r="A63" s="17" t="inlineStr">
        <is>
          <t xml:space="preserve">TC-ARB-F08</t>
        </is>
      </c>
      <c r="B63" s="18" t="inlineStr">
        <is>
          <t xml:space="preserve">Kısmen</t>
        </is>
      </c>
      <c r="C63" s="19" t="inlineStr">
        <is>
          <t xml:space="preserve">Ana sanity</t>
        </is>
      </c>
      <c r="D63" s="19" t="inlineStr">
        <is>
          <t xml:space="preserve">Excel ile dışa ve içe aktarma</t>
        </is>
      </c>
      <c r="E63" s="20" t="inlineStr">
        <is>
          <t xml:space="preserve">Arbitraj takip paneli açık; birkaç kayıtlı çift.</t>
        </is>
      </c>
      <c r="F63" s="20" t="inlineStr">
        <is>
          <t xml:space="preserve">1. Mevcut paneli Excel dosyası olarak dışa aktarın; dosyayı açıp çiftleri ve ayarları karşılaştırın.
2. Kopya dosyada bir ayarı değiştirip içe aktarın; ayar ekranını yeniden açarak değeri kontrol edin.
3. 5 MB üzeri ve desteklenmeyen uzantılı dosyalarla ayrı denemeler yapın.
4. Hatalı satır içeren kopyayı yükleyin; uyarıyı ve değişen/değişmeyen kayıtları kaydedin.</t>
        </is>
      </c>
      <c r="G63" s="20" t="inlineStr">
        <is>
          <t xml:space="preserve">Geçerli dosyadaki değişiklik tekrar açılan ayar ekranında görünür. Geçersiz boyut/uzantı için uyarı verilir. Hatalı satır içeren dosyada işlem sonucu ve etkilenen kayıtlar kullanıcı tarafından anlaşılabilir olmalıdır.</t>
        </is>
      </c>
      <c r="H63" s="19" t="inlineStr">
        <is>
          <t xml:space="preserve">Excel ile indirdiğimiz panel ve stratejiler dosyasını güncelledikten sonra geri yüklediğimizde ayarlar da istediğim şekilde güncelleniyor. </t>
        </is>
      </c>
      <c r="I63" s="19" t="inlineStr">
        <is>
          <t xml:space="preserve">Takip tablosu, Pasif Emirler, Emir Geçmişi ve ilgili işlem ekranı.</t>
        </is>
      </c>
      <c r="J63" s="18" t="inlineStr">
        <is>
          <t xml:space="preserve">Test</t>
        </is>
      </c>
      <c r="K63" s="18" t="inlineStr">
        <is>
          <t xml:space="preserve">Orta</t>
        </is>
      </c>
      <c r="L63" s="20" t="inlineStr">
        <is>
          <t xml:space="preserve">Önceki gözlem: dosya ile ayar değişikliği yapılmış. Bekleyen: boyut/uzantı kontrolü ve hatalı dosyanın kayıtlar üzerindeki etkisi.</t>
        </is>
      </c>
      <c r="M63" s="21"/>
    </row>
    <row r="64" spans="1:13" x14ac:dyDescent="0.25" ht="112.0" customHeight="1">
      <c r="A64" s="17" t="inlineStr">
        <is>
          <t xml:space="preserve">TC-ARB-F09</t>
        </is>
      </c>
      <c r="B64" s="18" t="inlineStr">
        <is>
          <t xml:space="preserve">Kısmen</t>
        </is>
      </c>
      <c r="C64" s="19" t="inlineStr">
        <is>
          <t xml:space="preserve">Ana sanity</t>
        </is>
      </c>
      <c r="D64" s="19" t="inlineStr">
        <is>
          <t xml:space="preserve">Paket Ekle, Paketi Değiştir ve paket silme</t>
        </is>
      </c>
      <c r="E64" s="20" t="inlineStr">
        <is>
          <t xml:space="preserve">Strateji durmuş bir Faiz Arbitraj çifti (test ortamında).</t>
        </is>
      </c>
      <c r="F64" s="20" t="inlineStr">
        <is>
          <t xml:space="preserve">1. Strateji durmuşken Paket Ekle ile bir paket ekle; miktarları kaydet
2. Paket Hareketleri’nden paketi değiştir
3. Silme onayını iptal et; paketin korunduğunu kontrol et
4. Silmeyi onayla; paket ve pozisyon değişimini karşılaştır
5. Test ortamında strateji çalışırken ekleme/değiştirme girişimini ve yanıtı kaydet</t>
        </is>
      </c>
      <c r="G64" s="20" t="inlineStr">
        <is>
          <t xml:space="preserve">Paket eklenince listede görünür ve pozisyon artar; değiştirilince yeni değerler görünür; silinince listeden kalkar ve pozisyon azalır. Silme öncesi onay istenir. Strateji çalışırken ekleme ve değiştirme yapılamaz ve kullanıcı uyarılır.</t>
        </is>
      </c>
      <c r="H64" s="19" t="inlineStr">
        <is>
          <t xml:space="preserve">Strateji durdurken paket ekleme ve çıkarma, paket silme işlemleri başarılı bir şekilde gerçekleşiyor. </t>
        </is>
      </c>
      <c r="I64" s="19" t="inlineStr">
        <is>
          <t xml:space="preserve">Takip tablosu, Pasif Emirler, Emir Geçmişi ve ilgili işlem ekranı.</t>
        </is>
      </c>
      <c r="J64" s="18" t="inlineStr">
        <is>
          <t xml:space="preserve">Test</t>
        </is>
      </c>
      <c r="K64" s="18" t="inlineStr">
        <is>
          <t xml:space="preserve">Orta</t>
        </is>
      </c>
      <c r="L64" s="20" t="inlineStr">
        <is>
          <t xml:space="preserve">Önceki gözlem: strateji durmuşken paket işlemleri çalışmış. Bekleyen: silme onayı, pozisyon karşılaştırması ve çalışan stratejide işlem engeli.</t>
        </is>
      </c>
      <c r="M64" s="21"/>
    </row>
    <row r="65" spans="1:13" x14ac:dyDescent="0.25" ht="112.0" customHeight="1">
      <c r="A65" s="17" t="inlineStr">
        <is>
          <t xml:space="preserve">TC-ARB-F12</t>
        </is>
      </c>
      <c r="B65" s="18" t="inlineStr">
        <is>
          <t xml:space="preserve">Test Edilmedi</t>
        </is>
      </c>
      <c r="C65" s="19" t="inlineStr">
        <is>
          <t xml:space="preserve">Ana sanity</t>
        </is>
      </c>
      <c r="D65" s="19" t="inlineStr">
        <is>
          <t xml:space="preserve">Özet Görünüm'de strateji türünün gösterilmesi</t>
        </is>
      </c>
      <c r="E65" s="20" t="inlineStr">
        <is>
          <t xml:space="preserve">Birkaç farklı türde çift.</t>
        </is>
      </c>
      <c r="F65" s="20" t="inlineStr">
        <is>
          <t xml:space="preserve">1. Özet Görünüm'ü aç
2. Strateji Tipi hücrelerini ve filtre listesini kontrol et</t>
        </is>
      </c>
      <c r="G65" s="20" t="inlineStr">
        <is>
          <t xml:space="preserve">Strateji Tipi hücrelerinde 'Faiz', 'Spread', 'Çift Vade', 'Çift Vade Faiz' yazar.</t>
        </is>
      </c>
      <c r="H65" s="19"/>
      <c r="I65" s="19" t="inlineStr">
        <is>
          <t xml:space="preserve">Takip tablosu, Pasif Emirler, Emir Geçmişi ve ilgili işlem ekranı.</t>
        </is>
      </c>
      <c r="J65" s="18" t="inlineStr">
        <is>
          <t xml:space="preserve">Test</t>
        </is>
      </c>
      <c r="K65" s="18" t="inlineStr">
        <is>
          <t xml:space="preserve">Az</t>
        </is>
      </c>
      <c r="L65" s="20"/>
      <c r="M65" s="21"/>
    </row>
    <row r="66" spans="1:13" x14ac:dyDescent="0.25" ht="112.0" customHeight="1">
      <c r="A66" s="17"/>
      <c r="B66" s="18"/>
      <c r="C66" s="19"/>
      <c r="D66" s="19"/>
      <c r="E66" s="20"/>
      <c r="F66" s="20"/>
      <c r="G66" s="20"/>
      <c r="H66" s="27"/>
      <c r="I66" s="19"/>
      <c r="J66" s="18"/>
      <c r="K66" s="18"/>
      <c r="L66" s="20"/>
      <c r="M66" s="21"/>
    </row>
    <row r="67" spans="1:13" x14ac:dyDescent="0.25" ht="112.0" customHeight="1">
      <c r="A67" s="17"/>
      <c r="B67" s="18"/>
      <c r="C67" s="19"/>
      <c r="D67" s="19"/>
      <c r="E67" s="20"/>
      <c r="F67" s="20"/>
      <c r="G67" s="20"/>
      <c r="H67" s="19"/>
      <c r="I67" s="19"/>
      <c r="J67" s="18"/>
      <c r="K67" s="18"/>
      <c r="L67" s="20"/>
      <c r="M67" s="21"/>
    </row>
    <row r="68" spans="1:13" x14ac:dyDescent="0.25" ht="112.0" customHeight="1">
      <c r="A68" s="17"/>
      <c r="B68" s="18"/>
      <c r="C68" s="19"/>
      <c r="D68" s="19"/>
      <c r="E68" s="20"/>
      <c r="F68" s="20"/>
      <c r="G68" s="20"/>
      <c r="H68" s="19"/>
      <c r="I68" s="19"/>
      <c r="J68" s="18"/>
      <c r="K68" s="18"/>
      <c r="L68" s="20"/>
      <c r="M68" s="21"/>
    </row>
    <row r="69" spans="1:13" x14ac:dyDescent="0.25" ht="112.0" customHeight="1">
      <c r="A69" s="17"/>
      <c r="B69" s="18"/>
      <c r="C69" s="19"/>
      <c r="D69" s="19"/>
      <c r="E69" s="20"/>
      <c r="F69" s="20"/>
      <c r="G69" s="20"/>
      <c r="H69" s="19"/>
      <c r="I69" s="19"/>
      <c r="J69" s="18"/>
      <c r="K69" s="18"/>
      <c r="L69" s="20"/>
      <c r="M69" s="21"/>
    </row>
    <row r="70" spans="1:13" x14ac:dyDescent="0.25" ht="112.0" customHeight="1">
      <c r="A70" s="17"/>
      <c r="B70" s="18"/>
      <c r="C70" s="19"/>
      <c r="D70" s="19"/>
      <c r="E70" s="20"/>
      <c r="F70" s="20"/>
      <c r="G70" s="20"/>
      <c r="H70" s="19"/>
      <c r="I70" s="19"/>
      <c r="J70" s="18"/>
      <c r="K70" s="18"/>
      <c r="L70" s="20"/>
      <c r="M70" s="21"/>
    </row>
    <row r="71" spans="1:13" x14ac:dyDescent="0.25" ht="112.0" customHeight="1">
      <c r="A71" s="17"/>
      <c r="B71" s="18"/>
      <c r="C71" s="19"/>
      <c r="D71" s="19"/>
      <c r="E71" s="20"/>
      <c r="F71" s="20"/>
      <c r="G71" s="20"/>
      <c r="H71" s="19"/>
      <c r="I71" s="19"/>
      <c r="J71" s="18"/>
      <c r="K71" s="18"/>
      <c r="L71" s="20"/>
      <c r="M71" s="21"/>
    </row>
    <row r="72" spans="1:13" x14ac:dyDescent="0.25" ht="138.0" customHeight="1">
      <c r="A72" s="17"/>
      <c r="B72" s="18"/>
      <c r="C72" s="19"/>
      <c r="D72" s="19"/>
      <c r="E72" s="20"/>
      <c r="F72" s="20"/>
      <c r="G72" s="20"/>
      <c r="H72" s="19"/>
      <c r="I72" s="19"/>
      <c r="J72" s="18"/>
      <c r="K72" s="18"/>
      <c r="L72" s="20"/>
      <c r="M72" s="21"/>
    </row>
    <row r="73" spans="1:13" x14ac:dyDescent="0.25" ht="86.0" customHeight="1">
      <c r="A73" s="17"/>
      <c r="B73" s="18"/>
      <c r="C73" s="19"/>
      <c r="D73" s="19"/>
      <c r="E73" s="20"/>
      <c r="F73" s="20"/>
      <c r="G73" s="20"/>
      <c r="H73" s="19"/>
      <c r="I73" s="19"/>
      <c r="J73" s="18"/>
      <c r="K73" s="18"/>
      <c r="L73" s="20"/>
      <c r="M73" s="21"/>
    </row>
    <row r="74" spans="1:13" ht="86.25" customHeight="1" x14ac:dyDescent="0.25">
      <c r="A74" s="17"/>
      <c r="B74" s="18"/>
      <c r="C74" s="19"/>
      <c r="D74" s="19"/>
      <c r="E74" s="20"/>
      <c r="F74" s="20"/>
      <c r="G74" s="20"/>
      <c r="H74" s="19"/>
      <c r="I74" s="19"/>
      <c r="J74" s="18"/>
      <c r="K74" s="18"/>
      <c r="L74" s="20"/>
      <c r="M74" s="21"/>
    </row>
    <row r="75" spans="1:13" ht="60.75" customHeight="1" x14ac:dyDescent="0.25">
      <c r="A75" s="17"/>
      <c r="B75" s="18"/>
      <c r="C75" s="19"/>
      <c r="D75" s="19"/>
      <c r="E75" s="20"/>
      <c r="F75" s="20"/>
      <c r="G75" s="20"/>
      <c r="H75" s="19"/>
      <c r="I75" s="19"/>
      <c r="J75" s="18"/>
      <c r="K75" s="18"/>
      <c r="L75" s="20"/>
      <c r="M75" s="21"/>
    </row>
  </sheetData>
  <autoFilter ref="A18:M65" xr:uid="{00000000-0009-0000-0000-000001000000}"/>
  <mergeCells count="18">
    <mergeCell ref="A15:B15"/>
    <mergeCell ref="C15:M15"/>
    <mergeCell ref="A12:B12"/>
    <mergeCell ref="C12:M12"/>
    <mergeCell ref="A13:B13"/>
    <mergeCell ref="C13:M13"/>
    <mergeCell ref="A14:B14"/>
    <mergeCell ref="C14:M14"/>
    <mergeCell ref="A8:B8"/>
    <mergeCell ref="C8:H8"/>
    <mergeCell ref="A10:M10"/>
    <mergeCell ref="A11:B11"/>
    <mergeCell ref="C11:M11"/>
    <mergeCell ref="A1:B4"/>
    <mergeCell ref="A6:B6"/>
    <mergeCell ref="C6:H6"/>
    <mergeCell ref="A7:B7"/>
    <mergeCell ref="C7:H7"/>
  </mergeCells>
  <conditionalFormatting sqref="B19:B400">
    <cfRule type="cellIs" dxfId="16" priority="2" operator="equal">
      <formula>"Başarılı"</formula>
    </cfRule>
    <cfRule type="cellIs" dxfId="15" priority="3" operator="equal">
      <formula>"Başarısız"</formula>
    </cfRule>
    <cfRule type="cellIs" dxfId="14" priority="4" operator="equal">
      <formula>"Test Ediliyor"</formula>
    </cfRule>
    <cfRule type="cellIs" dxfId="13" priority="5" operator="equal">
      <formula>"Bloke"</formula>
    </cfRule>
    <cfRule type="cellIs" dxfId="14" priority="7" operator="equal">
      <formula>"Kısmen"</formula>
    </cfRule>
  </conditionalFormatting>
  <conditionalFormatting sqref="K19:K400">
    <cfRule type="cellIs" dxfId="12" priority="6" operator="equal">
      <formula>"Yüksek"</formula>
    </cfRule>
  </conditionalFormatting>
  <pageMargins left="0.75" right="0.75" top="1" bottom="1" header="0.511811023622047" footer="0.511811023622047"/>
  <pageSetup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Listeler!$A$2:$A$10</xm:f>
          </x14:formula1>
          <x14:formula2>
            <xm:f>0</xm:f>
          </x14:formula2>
          <xm:sqref>B19:B400</xm:sqref>
        </x14:dataValidation>
        <x14:dataValidation type="list" allowBlank="1" xr:uid="{00000000-0002-0000-0100-000001000000}">
          <x14:formula1>
            <xm:f>Listeler!$B$2:$B$10</xm:f>
          </x14:formula1>
          <x14:formula2>
            <xm:f>0</xm:f>
          </x14:formula2>
          <xm:sqref>J19:J400</xm:sqref>
        </x14:dataValidation>
        <x14:dataValidation type="list" allowBlank="1" xr:uid="{00000000-0002-0000-0100-000002000000}">
          <x14:formula1>
            <xm:f>Listeler!$C$2:$C$10</xm:f>
          </x14:formula1>
          <x14:formula2>
            <xm:f>0</xm:f>
          </x14:formula2>
          <xm:sqref>K19:K400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showGridLines="0" topLeftCell="A20" zoomScaleNormal="100" workbookViewId="0">
      <selection activeCell="B26" sqref="B26"/>
    </sheetView>
  </sheetViews>
  <sheetFormatPr defaultColWidth="8.7109375" defaultRowHeight="15" x14ac:dyDescent="0.25"/>
  <cols>
    <col min="1" max="1" width="7" customWidth="1"/>
    <col min="2" max="2" width="32" customWidth="1"/>
    <col min="3" max="3" width="36" customWidth="1"/>
    <col min="4" max="4" width="18" customWidth="1"/>
    <col min="5" max="5" width="70" customWidth="1"/>
    <col min="6" max="6" width="42" customWidth="1"/>
    <col min="7" max="7" width="13" customWidth="1"/>
  </cols>
  <sheetData>
    <row r="1" spans="1:7" x14ac:dyDescent="0.25" ht="25.0" customHeight="1">
      <c r="A1" s="8" t="inlineStr">
        <is>
          <t xml:space="preserve">ARBİTRAJ — AYAR VE TEST REHBERİ</t>
        </is>
      </c>
      <c r="B1" s="8"/>
      <c r="C1" s="8"/>
      <c r="D1" s="8"/>
    </row>
    <row r="2" spans="1:7" ht="39.75" customHeight="1" x14ac:dyDescent="0.25">
      <c r="A2" s="7" t="inlineStr">
        <is>
          <t xml:space="preserve">Ekrandaki ayarların anlamı ve kontrol sırasında kullanılacak örnekler. Sayısal değerler örnektir; gerçek hesap ve enstrümanı test öncesinde kaydedin. Açıklamalar testin başarıyla çalıştırıldığını göstermez.</t>
        </is>
      </c>
      <c r="B2" s="7"/>
      <c r="C2" s="7"/>
      <c r="D2" s="7"/>
      <c r="E2" s="7"/>
      <c r="F2" s="7"/>
    </row>
    <row r="3" spans="1:7" ht="39.75" customHeight="1" x14ac:dyDescent="0.25">
      <c r="A3" s="7"/>
      <c r="B3" s="7"/>
      <c r="C3" s="7"/>
      <c r="D3" s="7"/>
      <c r="E3" s="7"/>
      <c r="F3" s="7"/>
    </row>
    <row r="5" spans="1:7" ht="25.5" customHeight="1" x14ac:dyDescent="0.25">
      <c r="A5" s="16" t="inlineStr">
        <is>
          <t xml:space="preserve">Ref</t>
        </is>
      </c>
      <c r="B5" s="16" t="inlineStr">
        <is>
          <t xml:space="preserve">Ayar / Hazırlık</t>
        </is>
      </c>
      <c r="C5" s="16" t="inlineStr">
        <is>
          <t xml:space="preserve">Değer / Birim</t>
        </is>
      </c>
      <c r="D5" s="16" t="inlineStr">
        <is>
          <t xml:space="preserve">Kullanım</t>
        </is>
      </c>
      <c r="E5" s="16" t="inlineStr">
        <is>
          <t xml:space="preserve">Kontrol Edilecek Nokta</t>
        </is>
      </c>
      <c r="F5" s="16" t="inlineStr">
        <is>
          <t xml:space="preserve">İlgili Test</t>
        </is>
      </c>
      <c r="G5" s="24"/>
    </row>
    <row r="6" spans="1:7" x14ac:dyDescent="0.25" ht="125.0" customHeight="1">
      <c r="A6" s="18" t="inlineStr">
        <is>
          <t xml:space="preserve">P01</t>
        </is>
      </c>
      <c r="B6" s="19" t="inlineStr">
        <is>
          <t xml:space="preserve">Test hesabı</t>
        </is>
      </c>
      <c r="C6" s="19" t="inlineStr">
        <is>
          <t xml:space="preserve">Hesap numarası</t>
        </is>
      </c>
      <c r="D6" s="18" t="inlineStr">
        <is>
          <t xml:space="preserve">Her koşu</t>
        </is>
      </c>
      <c r="E6" s="20" t="inlineStr">
        <is>
          <t xml:space="preserve">Yetkiyi, başlangıç pozisyonunu ve test için ayrılmış hesabı kaydedin.</t>
        </is>
      </c>
      <c r="F6" s="20" t="inlineStr">
        <is>
          <t xml:space="preserve">G01–G05</t>
        </is>
      </c>
      <c r="G6" s="24"/>
    </row>
    <row r="7" spans="1:7" ht="135.75" customHeight="1" x14ac:dyDescent="0.25">
      <c r="A7" s="18" t="inlineStr">
        <is>
          <t xml:space="preserve">P02</t>
        </is>
      </c>
      <c r="B7" s="19" t="inlineStr">
        <is>
          <t xml:space="preserve">Strateji türü</t>
        </is>
      </c>
      <c r="C7" s="19" t="inlineStr">
        <is>
          <t xml:space="preserve">Faiz / Spread / Çift Vade / Çift Vade Faiz</t>
        </is>
      </c>
      <c r="D7" s="18" t="inlineStr">
        <is>
          <t xml:space="preserve">Tür seçimi</t>
        </is>
      </c>
      <c r="E7" s="20" t="inlineStr">
        <is>
          <t xml:space="preserve">Seçilen türün takip tablosunda doğru göründüğünü kontrol edin.</t>
        </is>
      </c>
      <c r="F7" s="20" t="inlineStr">
        <is>
          <t xml:space="preserve">F01 / F12</t>
        </is>
      </c>
      <c r="G7" s="24"/>
    </row>
    <row r="8" spans="1:7" x14ac:dyDescent="0.25" ht="73.0" customHeight="1">
      <c r="A8" s="18" t="inlineStr">
        <is>
          <t xml:space="preserve">P03</t>
        </is>
      </c>
      <c r="B8" s="19" t="inlineStr">
        <is>
          <t xml:space="preserve">Baz Faiz</t>
        </is>
      </c>
      <c r="C8" s="19" t="inlineStr">
        <is>
          <t xml:space="preserve">Yüzde; örnek 40</t>
        </is>
      </c>
      <c r="D8" s="18" t="inlineStr">
        <is>
          <t xml:space="preserve">Faiz türleri</t>
        </is>
      </c>
      <c r="E8" s="20" t="inlineStr">
        <is>
          <t xml:space="preserve">%40 için 40 girin. Teorik fiyatı kontrol edin; açılış/kapanış faizleri ayrı ayarlardır.</t>
        </is>
      </c>
      <c r="F8" s="20" t="inlineStr">
        <is>
          <t xml:space="preserve">D01</t>
        </is>
      </c>
      <c r="G8" s="24"/>
    </row>
    <row r="9" spans="1:7" x14ac:dyDescent="0.25" ht="125.0" customHeight="1">
      <c r="A9" s="18" t="inlineStr">
        <is>
          <t xml:space="preserve">P04</t>
        </is>
      </c>
      <c r="B9" s="19" t="inlineStr">
        <is>
          <t xml:space="preserve">Fonlama Maliyeti</t>
        </is>
      </c>
      <c r="C9" s="19" t="inlineStr">
        <is>
          <t xml:space="preserve">Tam sayı yüzde puanı; örnek 2</t>
        </is>
      </c>
      <c r="D9" s="18" t="inlineStr">
        <is>
          <t xml:space="preserve">Opsiyonel</t>
        </is>
      </c>
      <c r="E9" s="20" t="inlineStr">
        <is>
          <t xml:space="preserve">Yalnız tam sayı girilir. Örnek: 35 hedef + 2 maliyet = 37.</t>
        </is>
      </c>
      <c r="F9" s="20" t="inlineStr">
        <is>
          <t xml:space="preserve">B08</t>
        </is>
      </c>
      <c r="G9" s="24"/>
    </row>
    <row r="10" spans="1:7" ht="123" customHeight="1" x14ac:dyDescent="0.25">
      <c r="A10" s="18" t="inlineStr">
        <is>
          <t xml:space="preserve">P06</t>
        </is>
      </c>
      <c r="B10" s="19" t="inlineStr">
        <is>
          <t xml:space="preserve">Dayanak seçimi</t>
        </is>
      </c>
      <c r="C10" s="19" t="inlineStr">
        <is>
          <t xml:space="preserve">Enstrüman adı</t>
        </is>
      </c>
      <c r="D10" s="18" t="inlineStr">
        <is>
          <t xml:space="preserve">Opsiyonel</t>
        </is>
      </c>
      <c r="E10" s="20" t="inlineStr">
        <is>
          <t xml:space="preserve">Dayanak ilk eklemede seçilir; farklı dayanak/vadeli çifti kurulabilir. Ayarlarda dayanak alanı pasiftir ve değiştirilemez.</t>
        </is>
      </c>
      <c r="F10" s="20" t="inlineStr">
        <is>
          <t xml:space="preserve">F01</t>
        </is>
      </c>
      <c r="G10" s="24"/>
    </row>
    <row r="11" spans="1:7" x14ac:dyDescent="0.25" ht="125.0" customHeight="1">
      <c r="A11" s="18" t="inlineStr">
        <is>
          <t xml:space="preserve">P07</t>
        </is>
      </c>
      <c r="B11" s="19" t="inlineStr">
        <is>
          <t xml:space="preserve">Spot Miktarı</t>
        </is>
      </c>
      <c r="C11" s="19" t="inlineStr">
        <is>
          <t xml:space="preserve">Lot / kontrat</t>
        </is>
      </c>
      <c r="D11" s="18" t="inlineStr">
        <is>
          <t xml:space="preserve">Opsiyonel</t>
        </is>
      </c>
      <c r="E11" s="20" t="inlineStr">
        <is>
          <t xml:space="preserve">Çift Vade ve Çift Vade Faiz için varsayılan 1. Kullanıcı değiştirebilir; Opsiyonel Ayarlar açıkken ikinci bacak miktarı seçilen çarpana göre oluşur.</t>
        </is>
      </c>
      <c r="F11" s="20" t="inlineStr">
        <is>
          <t xml:space="preserve">B12 / C05 / C06</t>
        </is>
      </c>
      <c r="G11" s="24"/>
    </row>
    <row r="12" spans="1:7" x14ac:dyDescent="0.25" ht="138.0" customHeight="1">
      <c r="A12" s="18" t="inlineStr">
        <is>
          <t xml:space="preserve">P08</t>
        </is>
      </c>
      <c r="B12" s="19" t="inlineStr">
        <is>
          <t xml:space="preserve">Kontrat Limiti</t>
        </is>
      </c>
      <c r="C12" s="19" t="inlineStr">
        <is>
          <t xml:space="preserve">Kontrat; RA: 4</t>
        </is>
      </c>
      <c r="D12" s="18" t="inlineStr">
        <is>
          <t xml:space="preserve">Açılış</t>
        </is>
      </c>
      <c r="E12" s="20" t="inlineStr">
        <is>
          <t xml:space="preserve">Limite ulaşınca yeni açılış olmamalıdır.</t>
        </is>
      </c>
      <c r="F12" s="20" t="inlineStr">
        <is>
          <t xml:space="preserve">A05</t>
        </is>
      </c>
      <c r="G12" s="24"/>
    </row>
    <row r="13" spans="1:7" x14ac:dyDescent="0.25" ht="73.0" customHeight="1">
      <c r="A13" s="18" t="inlineStr">
        <is>
          <t xml:space="preserve">P09</t>
        </is>
      </c>
      <c r="B13" s="19" t="inlineStr">
        <is>
          <t xml:space="preserve">Kontrat Kapatma Limiti</t>
        </is>
      </c>
      <c r="C13" s="19" t="inlineStr">
        <is>
          <t xml:space="preserve">Kontrat; RA: 2</t>
        </is>
      </c>
      <c r="D13" s="18" t="inlineStr">
        <is>
          <t xml:space="preserve">Kapanış</t>
        </is>
      </c>
      <c r="E13" s="20" t="inlineStr">
        <is>
          <t xml:space="preserve">Kapatma Limiti açıkken tamamlanan kapanış sayısını kontrol edin.</t>
        </is>
      </c>
      <c r="F13" s="20" t="inlineStr">
        <is>
          <t xml:space="preserve">A07</t>
        </is>
      </c>
      <c r="G13" s="24"/>
    </row>
    <row r="14" spans="1:7" x14ac:dyDescent="0.25" ht="73.0" customHeight="1">
      <c r="A14" s="18" t="inlineStr">
        <is>
          <t xml:space="preserve">P10</t>
        </is>
      </c>
      <c r="B14" s="19" t="inlineStr">
        <is>
          <t xml:space="preserve">Paket Limiti</t>
        </is>
      </c>
      <c r="C14" s="19" t="inlineStr">
        <is>
          <t xml:space="preserve">Kontrat; RA: 1</t>
        </is>
      </c>
      <c r="D14" s="18" t="inlineStr">
        <is>
          <t xml:space="preserve">Açılış</t>
        </is>
      </c>
      <c r="E14" s="20" t="inlineStr">
        <is>
          <t xml:space="preserve">Tek açılıştaki miktarı kontrol edin. 0 girişinin etkisi ayrıca denenir.</t>
        </is>
      </c>
      <c r="F14" s="20" t="inlineStr">
        <is>
          <t xml:space="preserve">A04 / B11</t>
        </is>
      </c>
      <c r="G14" s="24"/>
    </row>
    <row r="15" spans="1:7" x14ac:dyDescent="0.25" ht="73.0" customHeight="1">
      <c r="A15" s="18" t="inlineStr">
        <is>
          <t xml:space="preserve">P11</t>
        </is>
      </c>
      <c r="B15" s="19" t="inlineStr">
        <is>
          <t xml:space="preserve">Paket Kapatma Limiti</t>
        </is>
      </c>
      <c r="C15" s="19" t="inlineStr">
        <is>
          <t xml:space="preserve">Kontrat; RA: 1</t>
        </is>
      </c>
      <c r="D15" s="18" t="inlineStr">
        <is>
          <t xml:space="preserve">Kapanış</t>
        </is>
      </c>
      <c r="E15" s="20" t="inlineStr">
        <is>
          <t xml:space="preserve">Tek kapanış emrindeki kontrat miktarını kontrol edin.</t>
        </is>
      </c>
      <c r="F15" s="20" t="inlineStr">
        <is>
          <t xml:space="preserve">A06</t>
        </is>
      </c>
      <c r="G15" s="24"/>
    </row>
    <row r="16" spans="1:7" x14ac:dyDescent="0.25" ht="73.0" customHeight="1">
      <c r="A16" s="18" t="inlineStr">
        <is>
          <t xml:space="preserve">P12</t>
        </is>
      </c>
      <c r="B16" s="19" t="inlineStr">
        <is>
          <t xml:space="preserve">İşlem Tipi</t>
        </is>
      </c>
      <c r="C16" s="19" t="inlineStr">
        <is>
          <t xml:space="preserve">Aktif / Pasif</t>
        </is>
      </c>
      <c r="D16" s="18" t="inlineStr">
        <is>
          <t xml:space="preserve">Emir davranışı</t>
        </is>
      </c>
      <c r="E16" s="20" t="inlineStr">
        <is>
          <t xml:space="preserve">Pasif emir tahtada bekler. Aktif işlemde koşul oluşunca karşı fiyatla işlem denenir.</t>
        </is>
      </c>
      <c r="F16" s="20" t="inlineStr">
        <is>
          <t xml:space="preserve">A01 / B04</t>
        </is>
      </c>
      <c r="G16" s="24"/>
    </row>
    <row r="17" spans="1:7" x14ac:dyDescent="0.25" ht="73.0" customHeight="1">
      <c r="A17" s="18" t="inlineStr">
        <is>
          <t xml:space="preserve">P13</t>
        </is>
      </c>
      <c r="B17" s="19" t="inlineStr">
        <is>
          <t xml:space="preserve">Açığa Satış</t>
        </is>
      </c>
      <c r="C17" s="19" t="inlineStr">
        <is>
          <t xml:space="preserve">Serbest / Yasak</t>
        </is>
      </c>
      <c r="D17" s="18" t="inlineStr">
        <is>
          <t xml:space="preserve">İşlem yönü</t>
        </is>
      </c>
      <c r="E17" s="20" t="inlineStr">
        <is>
          <t xml:space="preserve">Yasak seçiliyken spot satışla yeni pozisyon açılmamalıdır.</t>
        </is>
      </c>
      <c r="F17" s="20" t="inlineStr">
        <is>
          <t xml:space="preserve">A10 / B01</t>
        </is>
      </c>
      <c r="G17" s="24"/>
    </row>
    <row r="18" spans="1:7" x14ac:dyDescent="0.25" ht="73.0" customHeight="1">
      <c r="A18" s="18" t="inlineStr">
        <is>
          <t xml:space="preserve">P14</t>
        </is>
      </c>
      <c r="B18" s="19" t="inlineStr">
        <is>
          <t xml:space="preserve">Satış Tipi</t>
        </is>
      </c>
      <c r="C18" s="19" t="inlineStr">
        <is>
          <t xml:space="preserve">Sell / Short</t>
        </is>
      </c>
      <c r="D18" s="18" t="inlineStr">
        <is>
          <t xml:space="preserve">Spot satış</t>
        </is>
      </c>
      <c r="E18" s="20" t="inlineStr">
        <is>
          <t xml:space="preserve">Ekrandaki normal satış/açığa satış bilgisini Emir Geçmişi ile karşılaştırın.</t>
        </is>
      </c>
      <c r="F18" s="20" t="inlineStr">
        <is>
          <t xml:space="preserve">B03</t>
        </is>
      </c>
      <c r="G18" s="24"/>
    </row>
    <row r="19" spans="1:7" x14ac:dyDescent="0.25" ht="73.0" customHeight="1">
      <c r="A19" s="18" t="inlineStr">
        <is>
          <t xml:space="preserve">P15</t>
        </is>
      </c>
      <c r="B19" s="19" t="inlineStr">
        <is>
          <t xml:space="preserve">Açılış / Kapanış Kademesi</t>
        </is>
      </c>
      <c r="C19" s="19" t="inlineStr">
        <is>
          <t xml:space="preserve">Kademe</t>
        </is>
      </c>
      <c r="D19" s="18" t="inlineStr">
        <is>
          <t xml:space="preserve">Spread türleri</t>
        </is>
      </c>
      <c r="E19" s="20" t="inlineStr">
        <is>
          <t xml:space="preserve">Tür, yön ve kapanış seçimine uygun eşikleri kaydedin.</t>
        </is>
      </c>
      <c r="F19" s="20" t="inlineStr">
        <is>
          <t xml:space="preserve">C01 / C02 / C04</t>
        </is>
      </c>
      <c r="G19" s="24"/>
    </row>
    <row r="20" spans="1:7" ht="135.75" customHeight="1" x14ac:dyDescent="0.25">
      <c r="A20" s="18" t="inlineStr">
        <is>
          <t xml:space="preserve">P16</t>
        </is>
      </c>
      <c r="B20" s="19" t="inlineStr">
        <is>
          <t xml:space="preserve">Başlangıç açık emirleri</t>
        </is>
      </c>
      <c r="C20" s="19" t="inlineStr">
        <is>
          <t xml:space="preserve">Emir no / kalan miktar</t>
        </is>
      </c>
      <c r="D20" s="18" t="inlineStr">
        <is>
          <t xml:space="preserve">Her koşu</t>
        </is>
      </c>
      <c r="E20" s="20" t="inlineStr">
        <is>
          <t xml:space="preserve">Testten önce bekleyen emirleri kaydedin; önceki test emrini yeni emirle karıştırmayın.</t>
        </is>
      </c>
      <c r="F20" s="20" t="inlineStr">
        <is>
          <t xml:space="preserve">G04</t>
        </is>
      </c>
      <c r="G20" s="24"/>
    </row>
    <row r="21" spans="1:7" x14ac:dyDescent="0.25" ht="99.0" customHeight="1">
      <c r="A21" s="18" t="inlineStr">
        <is>
          <t xml:space="preserve">P17</t>
        </is>
      </c>
      <c r="B21" s="19" t="inlineStr">
        <is>
          <t xml:space="preserve">Adaptif Spread</t>
        </is>
      </c>
      <c r="C21" s="19" t="inlineStr">
        <is>
          <t xml:space="preserve">Açık/kapalı ve kademe</t>
        </is>
      </c>
      <c r="D21" s="18" t="inlineStr">
        <is>
          <t xml:space="preserve">Ek özellik</t>
        </is>
      </c>
      <c r="E21" s="20" t="inlineStr">
        <is>
          <t xml:space="preserve">Açık ve kapalı durumda pasif emir fiyatını karşılaştırın.</t>
        </is>
      </c>
      <c r="F21" s="20" t="inlineStr">
        <is>
          <t xml:space="preserve">B09</t>
        </is>
      </c>
      <c r="G21" s="24"/>
    </row>
    <row r="22" spans="1:7" x14ac:dyDescent="0.25" ht="73.0" customHeight="1">
      <c r="A22" s="18" t="inlineStr">
        <is>
          <t xml:space="preserve">P18</t>
        </is>
      </c>
      <c r="B22" s="19" t="inlineStr">
        <is>
          <t xml:space="preserve">Stop Loss</t>
        </is>
      </c>
      <c r="C22" s="19" t="inlineStr">
        <is>
          <t xml:space="preserve">Kademe / saniye / tip</t>
        </is>
      </c>
      <c r="D22" s="18" t="inlineStr">
        <is>
          <t xml:space="preserve">Spot emir</t>
        </is>
      </c>
      <c r="E22" s="20" t="inlineStr">
        <is>
          <t xml:space="preserve">Süre ve fiyat farkı koşullarını ayrı deneyin; fiyat değiştirme ile gerçekleşmeyi ayırın.</t>
        </is>
      </c>
      <c r="F22" s="20" t="inlineStr">
        <is>
          <t xml:space="preserve">A08 / A09 / B06</t>
        </is>
      </c>
      <c r="G22" s="24"/>
    </row>
    <row r="23" spans="1:7" x14ac:dyDescent="0.25" ht="86.0" customHeight="1">
      <c r="A23" s="18" t="inlineStr">
        <is>
          <t xml:space="preserve">P19</t>
        </is>
      </c>
      <c r="B23" s="19" t="inlineStr">
        <is>
          <t xml:space="preserve">Başlangıç / Bitiş</t>
        </is>
      </c>
      <c r="C23" s="19" t="inlineStr">
        <is>
          <t xml:space="preserve">Saat:dakika</t>
        </is>
      </c>
      <c r="D23" s="18" t="inlineStr">
        <is>
          <t xml:space="preserve">Zaman ayarı</t>
        </is>
      </c>
      <c r="E23" s="20" t="inlineStr">
        <is>
          <t xml:space="preserve">İşlem için başlangıç ve bitiş saatini kaydedin. Başlangıç bitişten sonraysa ayarlar kaydedilemez.</t>
        </is>
      </c>
      <c r="F23" s="20" t="inlineStr">
        <is>
          <t xml:space="preserve">F05</t>
        </is>
      </c>
      <c r="G23" s="24"/>
    </row>
    <row r="24" spans="1:7" ht="135.75" customHeight="1" x14ac:dyDescent="0.25">
      <c r="A24" s="18" t="inlineStr">
        <is>
          <t xml:space="preserve">P20</t>
        </is>
      </c>
      <c r="B24" s="19" t="inlineStr">
        <is>
          <t xml:space="preserve">Vade seçimi</t>
        </is>
      </c>
      <c r="C24" s="19" t="inlineStr">
        <is>
          <t xml:space="preserve">Vade tarihi</t>
        </is>
      </c>
      <c r="D24" s="18" t="inlineStr">
        <is>
          <t xml:space="preserve">Çift oluşturma</t>
        </is>
      </c>
      <c r="E24" s="20" t="inlineStr">
        <is>
          <t xml:space="preserve">Geçerli iki farklı vade seçildiğini kontrol edin.</t>
        </is>
      </c>
      <c r="F24" s="20" t="inlineStr">
        <is>
          <t xml:space="preserve">C07 / F03</t>
        </is>
      </c>
      <c r="G24" s="24"/>
    </row>
    <row r="25" spans="1:7" x14ac:dyDescent="0.25" ht="112.0" customHeight="1">
      <c r="A25" s="18" t="inlineStr">
        <is>
          <t xml:space="preserve">P21</t>
        </is>
      </c>
      <c r="B25" s="19" t="inlineStr">
        <is>
          <t xml:space="preserve">Vadeli ve dayanak</t>
        </is>
      </c>
      <c r="C25" s="19" t="inlineStr">
        <is>
          <t xml:space="preserve">Enstrüman adları</t>
        </is>
      </c>
      <c r="D25" s="18" t="inlineStr">
        <is>
          <t xml:space="preserve">Çift oluşturma</t>
        </is>
      </c>
      <c r="E25" s="20" t="inlineStr">
        <is>
          <t xml:space="preserve">Emirler seçilen iki enstrümana gitmelidir.</t>
        </is>
      </c>
      <c r="F25" s="20" t="inlineStr">
        <is>
          <t xml:space="preserve">G04 / A03</t>
        </is>
      </c>
      <c r="G25" s="24"/>
    </row>
    <row r="26" spans="1:7" x14ac:dyDescent="0.25" ht="73.0" customHeight="1">
      <c r="A26" s="18" t="inlineStr">
        <is>
          <t xml:space="preserve">P22</t>
        </is>
      </c>
      <c r="B26" s="19" t="inlineStr">
        <is>
          <t xml:space="preserve">Kanal</t>
        </is>
      </c>
      <c r="C26" s="19" t="inlineStr">
        <is>
          <t xml:space="preserve">Ouch / Fix</t>
        </is>
      </c>
      <c r="D26" s="18" t="inlineStr">
        <is>
          <t xml:space="preserve">Emir gönderimi</t>
        </is>
      </c>
      <c r="E26" s="20" t="inlineStr">
        <is>
          <t xml:space="preserve">Test hesabında kullanılabilen kanalı seçin; emir detayından karşılaştırın.</t>
        </is>
      </c>
      <c r="F26" s="20" t="inlineStr">
        <is>
          <t xml:space="preserve">A13 / B13</t>
        </is>
      </c>
      <c r="G26" s="24"/>
    </row>
    <row r="27" spans="1:7" x14ac:dyDescent="0.25" ht="112.0" customHeight="1">
      <c r="A27" s="18" t="inlineStr">
        <is>
          <t xml:space="preserve">P23</t>
        </is>
      </c>
      <c r="B27" s="19" t="inlineStr">
        <is>
          <t xml:space="preserve">Seçenekler</t>
        </is>
      </c>
      <c r="C27" s="19" t="inlineStr">
        <is>
          <t xml:space="preserve">İşaretli / işaretsiz</t>
        </is>
      </c>
      <c r="D27" s="18" t="inlineStr">
        <is>
          <t xml:space="preserve">Ayar kaydı</t>
        </is>
      </c>
      <c r="E27" s="20" t="inlineStr">
        <is>
          <t xml:space="preserve">Seçimi kaydedin, pencereyi yeniden açıp korunduğunu kontrol edin.</t>
        </is>
      </c>
      <c r="F27" s="20" t="inlineStr">
        <is>
          <t xml:space="preserve">F05</t>
        </is>
      </c>
      <c r="G27" s="24"/>
    </row>
    <row r="28" spans="1:7" x14ac:dyDescent="0.25" ht="86.0" customHeight="1">
      <c r="A28" s="18" t="inlineStr">
        <is>
          <t xml:space="preserve">P24</t>
        </is>
      </c>
      <c r="B28" s="19" t="inlineStr">
        <is>
          <t xml:space="preserve">Faiz Arbitraj</t>
        </is>
      </c>
      <c r="C28" s="19" t="inlineStr">
        <is>
          <t xml:space="preserve">Faiz eşikleri</t>
        </is>
      </c>
      <c r="D28" s="18" t="inlineStr">
        <is>
          <t xml:space="preserve">Temel akış</t>
        </is>
      </c>
      <c r="E28" s="20" t="inlineStr">
        <is>
          <t xml:space="preserve">Vadeli ve spot yönlerini, paket oluşumunu ve kapanışı birlikte kontrol edin.</t>
        </is>
      </c>
      <c r="F28" s="20" t="inlineStr">
        <is>
          <t xml:space="preserve">A01–A06 / B01</t>
        </is>
      </c>
      <c r="G28" s="24"/>
    </row>
    <row r="29" spans="1:7" x14ac:dyDescent="0.25" ht="138.0" customHeight="1">
      <c r="A29" s="18" t="inlineStr">
        <is>
          <t xml:space="preserve">P25</t>
        </is>
      </c>
      <c r="B29" s="19" t="inlineStr">
        <is>
          <t xml:space="preserve">Spread Arbitraj</t>
        </is>
      </c>
      <c r="C29" s="19" t="inlineStr">
        <is>
          <t xml:space="preserve">Kademe eşikleri</t>
        </is>
      </c>
      <c r="D29" s="18" t="inlineStr">
        <is>
          <t xml:space="preserve">Temel akış</t>
        </is>
      </c>
      <c r="E29" s="20" t="inlineStr">
        <is>
          <t xml:space="preserve">Alım ve Satım yönlerinde iki bacağı ve kapanışı kontrol edin.</t>
        </is>
      </c>
      <c r="F29" s="20" t="inlineStr">
        <is>
          <t xml:space="preserve">C01 / C02</t>
        </is>
      </c>
      <c r="G29" s="24"/>
    </row>
    <row r="30" spans="1:7" ht="84.75" customHeight="1" x14ac:dyDescent="0.25">
      <c r="A30" s="18" t="inlineStr">
        <is>
          <t xml:space="preserve">P26</t>
        </is>
      </c>
      <c r="B30" s="19" t="inlineStr">
        <is>
          <t xml:space="preserve">Çift Vade Spread</t>
        </is>
      </c>
      <c r="C30" s="19" t="inlineStr">
        <is>
          <t xml:space="preserve">İki vade / kontrat</t>
        </is>
      </c>
      <c r="D30" s="18" t="inlineStr">
        <is>
          <t xml:space="preserve">Temel akış</t>
        </is>
      </c>
      <c r="E30" s="20" t="inlineStr">
        <is>
          <t xml:space="preserve">Varsayılan çarpan 1 iken iki bacaktaki kontrat miktarı eşittir. Farklı çarpan seçildiyse miktarı bu değere göre karşılaştırın.</t>
        </is>
      </c>
      <c r="F30" s="20" t="inlineStr">
        <is>
          <t xml:space="preserve">C05</t>
        </is>
      </c>
      <c r="G30" s="24"/>
    </row>
    <row r="31" spans="1:7" x14ac:dyDescent="0.25" ht="73.0" customHeight="1">
      <c r="A31" s="18" t="inlineStr">
        <is>
          <t xml:space="preserve">P27</t>
        </is>
      </c>
      <c r="B31" s="19" t="inlineStr">
        <is>
          <t xml:space="preserve">Çift Vade Faiz</t>
        </is>
      </c>
      <c r="C31" s="19" t="inlineStr">
        <is>
          <t xml:space="preserve">İki vade / faiz</t>
        </is>
      </c>
      <c r="D31" s="18" t="inlineStr">
        <is>
          <t xml:space="preserve">Temel akış</t>
        </is>
      </c>
      <c r="E31" s="20" t="inlineStr">
        <is>
          <t xml:space="preserve">İki vadenin tarih farkını, emir yönlerini ve miktarları kontrol edin.</t>
        </is>
      </c>
      <c r="F31" s="20" t="inlineStr">
        <is>
          <t xml:space="preserve">C06</t>
        </is>
      </c>
      <c r="G31" s="24"/>
    </row>
    <row r="32" spans="1:7" x14ac:dyDescent="0.25" ht="47.0" customHeight="1">
      <c r="A32" s="18" t="inlineStr">
        <is>
          <t xml:space="preserve">P28</t>
        </is>
      </c>
      <c r="B32" s="19" t="inlineStr">
        <is>
          <t xml:space="preserve">Vadeye kalan gün</t>
        </is>
      </c>
      <c r="C32" s="19" t="inlineStr">
        <is>
          <t xml:space="preserve">Gün</t>
        </is>
      </c>
      <c r="D32" s="18" t="inlineStr">
        <is>
          <t xml:space="preserve">Hesap kontrolü</t>
        </is>
      </c>
      <c r="E32" s="20" t="inlineStr">
        <is>
          <t xml:space="preserve">Ekrandaki süreyi tarih ve takas/tatil hesabıyla karşılaştırın.</t>
        </is>
      </c>
      <c r="F32" s="20" t="inlineStr">
        <is>
          <t xml:space="preserve">D03</t>
        </is>
      </c>
      <c r="G32" s="24"/>
    </row>
    <row r="33" spans="1:7" ht="135.75" customHeight="1" x14ac:dyDescent="0.25">
      <c r="A33" s="18" t="inlineStr">
        <is>
          <t xml:space="preserve">P30</t>
        </is>
      </c>
      <c r="B33" s="19" t="inlineStr">
        <is>
          <t xml:space="preserve">Kapatma Limiti</t>
        </is>
      </c>
      <c r="C33" s="19" t="inlineStr">
        <is>
          <t xml:space="preserve">İşaretli / işaretsiz</t>
        </is>
      </c>
      <c r="D33" s="18" t="inlineStr">
        <is>
          <t xml:space="preserve">Kapanış</t>
        </is>
      </c>
      <c r="E33" s="20" t="inlineStr">
        <is>
          <t xml:space="preserve">Açıkken kapanış limiti uygulanır; kapalı durum ayrı denenir.</t>
        </is>
      </c>
      <c r="F33" s="20" t="inlineStr">
        <is>
          <t xml:space="preserve">A07 / B10</t>
        </is>
      </c>
      <c r="G33" s="24"/>
    </row>
    <row r="34" spans="1:7" x14ac:dyDescent="0.25" ht="125.0" customHeight="1">
      <c r="A34" s="18" t="inlineStr">
        <is>
          <t xml:space="preserve">P31</t>
        </is>
      </c>
      <c r="B34" s="19" t="inlineStr">
        <is>
          <t xml:space="preserve">Piyasaya Göre Kapat</t>
        </is>
      </c>
      <c r="C34" s="19" t="inlineStr">
        <is>
          <t xml:space="preserve">İşaretli / işaretsiz</t>
        </is>
      </c>
      <c r="D34" s="18" t="inlineStr">
        <is>
          <t xml:space="preserve">Spread kapanışı</t>
        </is>
      </c>
      <c r="E34" s="20" t="inlineStr">
        <is>
          <t xml:space="preserve">Seçime göre kullanılan kapanış fiyatını karşılaştırın.</t>
        </is>
      </c>
      <c r="F34" s="20" t="inlineStr">
        <is>
          <t xml:space="preserve">C04</t>
        </is>
      </c>
      <c r="G34" s="24"/>
    </row>
    <row r="35" spans="1:7" x14ac:dyDescent="0.25" ht="73.0" customHeight="1">
      <c r="A35" s="18" t="inlineStr">
        <is>
          <t xml:space="preserve">P32</t>
        </is>
      </c>
      <c r="B35" s="19" t="inlineStr">
        <is>
          <t xml:space="preserve">Vadeli Açılış Tarafı</t>
        </is>
      </c>
      <c r="C35" s="19" t="inlineStr">
        <is>
          <t xml:space="preserve">Alım / Satım / Otomatik</t>
        </is>
      </c>
      <c r="D35" s="18" t="inlineStr">
        <is>
          <t xml:space="preserve">Yön seçimi</t>
        </is>
      </c>
      <c r="E35" s="20" t="inlineStr">
        <is>
          <t xml:space="preserve">Vadeli bacağın açılış yönünü belirler. Bu dosyadaki yön testlerinde Alım veya Satım seçin.</t>
        </is>
      </c>
      <c r="F35" s="20" t="inlineStr">
        <is>
          <t xml:space="preserve">C01 / C02</t>
        </is>
      </c>
      <c r="G35" s="24"/>
    </row>
    <row r="36" spans="1:7" x14ac:dyDescent="0.25" ht="73.0" customHeight="1">
      <c r="A36" s="18" t="inlineStr">
        <is>
          <t xml:space="preserve">P33</t>
        </is>
      </c>
      <c r="B36" s="19" t="inlineStr">
        <is>
          <t xml:space="preserve">Opsiyonel Ayarlar</t>
        </is>
      </c>
      <c r="C36" s="19" t="inlineStr">
        <is>
          <t xml:space="preserve">İşaretli / işaretsiz</t>
        </is>
      </c>
      <c r="D36" s="18" t="inlineStr">
        <is>
          <t xml:space="preserve">Ek ayarlar</t>
        </is>
      </c>
      <c r="E36" s="20" t="inlineStr">
        <is>
          <t xml:space="preserve">Çift Vade türlerinde varsayılan çarpan 1. Farklı çarpanın uygulanmasını opsiyonel ayar açıkken kontrol edin.</t>
        </is>
      </c>
      <c r="F36" s="20" t="inlineStr">
        <is>
          <t xml:space="preserve">B12</t>
        </is>
      </c>
      <c r="G36" s="24"/>
    </row>
    <row r="37" spans="1:7" x14ac:dyDescent="0.25" ht="151.0" customHeight="1">
      <c r="A37" s="18" t="inlineStr">
        <is>
          <t xml:space="preserve">P34</t>
        </is>
      </c>
      <c r="B37" s="19" t="inlineStr">
        <is>
          <t xml:space="preserve">Alış / Satış Hedef Faiz</t>
        </is>
      </c>
      <c r="C37" s="19" t="inlineStr">
        <is>
          <t xml:space="preserve">Yüzde</t>
        </is>
      </c>
      <c r="D37" s="18" t="inlineStr">
        <is>
          <t xml:space="preserve">Açılış eşiği</t>
        </is>
      </c>
      <c r="E37" s="20" t="inlineStr">
        <is>
          <t xml:space="preserve">Seçilen yönün açılış faizini kaydedin; RA satış hedefi 35 örneğini kullanır.</t>
        </is>
      </c>
      <c r="F37" s="20" t="inlineStr">
        <is>
          <t xml:space="preserve">A01 / B01</t>
        </is>
      </c>
      <c r="G37" s="24"/>
    </row>
    <row r="38" spans="1:7" x14ac:dyDescent="0.25" ht="73.0" customHeight="1">
      <c r="A38" s="18" t="inlineStr">
        <is>
          <t xml:space="preserve">P35</t>
        </is>
      </c>
      <c r="B38" s="19" t="inlineStr">
        <is>
          <t xml:space="preserve">Alış / Satış Kapatma Faiz</t>
        </is>
      </c>
      <c r="C38" s="19" t="inlineStr">
        <is>
          <t xml:space="preserve">Yüzde</t>
        </is>
      </c>
      <c r="D38" s="18" t="inlineStr">
        <is>
          <t xml:space="preserve">Kapanış eşiği</t>
        </is>
      </c>
      <c r="E38" s="20" t="inlineStr">
        <is>
          <t xml:space="preserve">Seçilen yönün kapanış faizini kaydedin; RA satış kapatma faizi 29 örneğini kullanır.</t>
        </is>
      </c>
      <c r="F38" s="20" t="inlineStr">
        <is>
          <t xml:space="preserve">A06 / B01</t>
        </is>
      </c>
      <c r="G38" s="24"/>
    </row>
    <row r="39" spans="1:7" x14ac:dyDescent="0.25" ht="73.0" customHeight="1">
      <c r="A39" s="18" t="inlineStr">
        <is>
          <t xml:space="preserve">P36</t>
        </is>
      </c>
      <c r="B39" s="19" t="inlineStr">
        <is>
          <t xml:space="preserve">Test sonrası temizlik</t>
        </is>
      </c>
      <c r="C39" s="19" t="inlineStr">
        <is>
          <t xml:space="preserve">Emir / paket / pozisyon</t>
        </is>
      </c>
      <c r="D39" s="18" t="inlineStr">
        <is>
          <t xml:space="preserve">Her koşu</t>
        </is>
      </c>
      <c r="E39" s="20" t="inlineStr">
        <is>
          <t xml:space="preserve">Stratejiyi durdurun; kalan emir ve pozisyonları kaydedip test sorumlusuyla sonuçlandırın.</t>
        </is>
      </c>
      <c r="F39" s="20" t="inlineStr">
        <is>
          <t xml:space="preserve">E01</t>
        </is>
      </c>
      <c r="G39" s="24"/>
    </row>
    <row r="40" spans="1:7" x14ac:dyDescent="0.25" ht="73.0" customHeight="1">
      <c r="A40" s="18" t="inlineStr">
        <is>
          <t xml:space="preserve">P37</t>
        </is>
      </c>
      <c r="B40" s="19" t="inlineStr">
        <is>
          <t xml:space="preserve">Toplu Ayar</t>
        </is>
      </c>
      <c r="C40" s="19" t="inlineStr">
        <is>
          <t xml:space="preserve">Seçili çiftler</t>
        </is>
      </c>
      <c r="D40" s="18" t="inlineStr">
        <is>
          <t xml:space="preserve">Ana sanity</t>
        </is>
      </c>
      <c r="E40" s="20" t="inlineStr">
        <is>
          <t xml:space="preserve">Değişen alanın uygulandığını ve diğer ayarların korunduğunu kontrol edin.</t>
        </is>
      </c>
      <c r="F40" s="20" t="inlineStr">
        <is>
          <t xml:space="preserve">—</t>
        </is>
      </c>
      <c r="G40" s="24"/>
    </row>
    <row r="41" spans="1:7" x14ac:dyDescent="0.25" ht="73.0" customHeight="1">
      <c r="A41" s="18" t="inlineStr">
        <is>
          <t xml:space="preserve">P38</t>
        </is>
      </c>
      <c r="B41" s="19" t="inlineStr">
        <is>
          <t xml:space="preserve">Kaydet</t>
        </is>
      </c>
      <c r="C41" s="19" t="inlineStr">
        <is>
          <t xml:space="preserve">Geçerli / geçersiz giriş</t>
        </is>
      </c>
      <c r="D41" s="18" t="inlineStr">
        <is>
          <t xml:space="preserve">Ayar kontrolü</t>
        </is>
      </c>
      <c r="E41" s="20" t="inlineStr">
        <is>
          <t xml:space="preserve">Başlangıç bitişten sonraysa kayıt engellenir. Limitler boş veya 0 kaydedilebilir. Kaydetme bildirimi ve yeniden açılan değerleri kontrol edin.</t>
        </is>
      </c>
      <c r="F41" s="20" t="inlineStr">
        <is>
          <t xml:space="preserve">F05</t>
        </is>
      </c>
      <c r="G41" s="24"/>
    </row>
    <row r="42" spans="1:7" x14ac:dyDescent="0.25" ht="125.0" customHeight="1">
      <c r="A42" s="18"/>
      <c r="B42" s="19"/>
      <c r="C42" s="19"/>
      <c r="D42" s="18"/>
      <c r="E42" s="20"/>
      <c r="F42" s="20"/>
      <c r="G42" s="24"/>
    </row>
    <row r="43" spans="1:7" x14ac:dyDescent="0.25" ht="112.0" customHeight="1">
      <c r="A43" s="18"/>
      <c r="B43" s="19"/>
      <c r="C43" s="19"/>
      <c r="D43" s="18"/>
      <c r="E43" s="20"/>
      <c r="F43" s="20"/>
      <c r="G43" s="24"/>
    </row>
    <row r="44" spans="1:7" ht="15" customHeight="1" x14ac:dyDescent="0.25">
      <c r="A44" s="21"/>
      <c r="B44" s="21"/>
      <c r="C44" s="21"/>
      <c r="D44" s="21"/>
      <c r="E44" s="21"/>
      <c r="F44" s="21"/>
      <c r="G44" s="24"/>
    </row>
    <row r="45" spans="1:7" ht="15" customHeight="1" x14ac:dyDescent="0.25">
      <c r="A45" s="21"/>
      <c r="B45" s="21"/>
      <c r="C45" s="21"/>
      <c r="D45" s="21"/>
      <c r="E45" s="21"/>
      <c r="F45" s="21"/>
      <c r="G45" s="24"/>
    </row>
    <row r="46" spans="1:7" ht="15" customHeight="1" x14ac:dyDescent="0.25">
      <c r="A46" s="21"/>
      <c r="B46" s="21"/>
      <c r="C46" s="21"/>
      <c r="D46" s="21"/>
      <c r="E46" s="21"/>
      <c r="F46" s="21"/>
      <c r="G46" s="24"/>
    </row>
    <row r="47" spans="1:7" ht="15" customHeight="1" x14ac:dyDescent="0.25">
      <c r="A47" s="21"/>
      <c r="B47" s="21"/>
      <c r="C47" s="21"/>
      <c r="D47" s="21"/>
      <c r="E47" s="21"/>
      <c r="F47" s="21"/>
      <c r="G47" s="24"/>
    </row>
    <row r="48" spans="1:7" ht="15" customHeight="1" x14ac:dyDescent="0.25">
      <c r="A48" s="21"/>
      <c r="B48" s="21"/>
      <c r="C48" s="21"/>
      <c r="D48" s="21"/>
      <c r="E48" s="21"/>
      <c r="F48" s="21"/>
      <c r="G48" s="24"/>
    </row>
    <row r="49" spans="1:7" ht="15" customHeight="1" x14ac:dyDescent="0.25">
      <c r="A49" s="21"/>
      <c r="B49" s="21"/>
      <c r="C49" s="21"/>
      <c r="D49" s="21"/>
      <c r="E49" s="21"/>
      <c r="F49" s="21"/>
      <c r="G49" s="24"/>
    </row>
    <row r="50" spans="1:7" ht="15" customHeight="1" x14ac:dyDescent="0.25">
      <c r="A50" s="21"/>
      <c r="B50" s="21"/>
      <c r="C50" s="21"/>
      <c r="D50" s="21"/>
      <c r="E50" s="21"/>
      <c r="F50" s="21"/>
      <c r="G50" s="24"/>
    </row>
    <row r="51" spans="1:7" ht="15" customHeight="1" x14ac:dyDescent="0.25">
      <c r="A51" s="21"/>
      <c r="B51" s="21"/>
      <c r="C51" s="21"/>
      <c r="D51" s="21"/>
      <c r="E51" s="21"/>
      <c r="F51" s="21"/>
      <c r="G51" s="24"/>
    </row>
    <row r="52" spans="1:7" ht="15" customHeight="1" x14ac:dyDescent="0.25">
      <c r="A52" s="21"/>
      <c r="B52" s="21"/>
      <c r="C52" s="21"/>
      <c r="D52" s="21"/>
      <c r="E52" s="21"/>
      <c r="F52" s="21"/>
      <c r="G52" s="24"/>
    </row>
    <row r="53" spans="1:7" ht="15" customHeight="1" x14ac:dyDescent="0.25">
      <c r="A53" s="21"/>
      <c r="B53" s="21"/>
      <c r="C53" s="21"/>
      <c r="D53" s="21"/>
      <c r="E53" s="21"/>
      <c r="F53" s="21"/>
      <c r="G53" s="24"/>
    </row>
    <row r="54" spans="1:7" ht="15" customHeight="1" x14ac:dyDescent="0.25">
      <c r="A54" s="21"/>
      <c r="B54" s="21"/>
      <c r="C54" s="21"/>
      <c r="D54" s="21"/>
      <c r="E54" s="21"/>
      <c r="F54" s="21"/>
      <c r="G54" s="24"/>
    </row>
    <row r="55" spans="1:7" ht="15" customHeight="1" x14ac:dyDescent="0.25">
      <c r="A55" s="21"/>
      <c r="B55" s="21"/>
      <c r="C55" s="21"/>
      <c r="D55" s="21"/>
      <c r="E55" s="21"/>
      <c r="F55" s="21"/>
      <c r="G55" s="24"/>
    </row>
    <row r="56" spans="1:7" ht="15" customHeight="1" x14ac:dyDescent="0.25">
      <c r="A56" s="21"/>
      <c r="B56" s="21"/>
      <c r="C56" s="21"/>
      <c r="D56" s="21"/>
      <c r="E56" s="21"/>
      <c r="F56" s="21"/>
      <c r="G56" s="24"/>
    </row>
    <row r="57" spans="1:7" ht="15" customHeight="1" x14ac:dyDescent="0.25">
      <c r="A57" s="21"/>
      <c r="B57" s="21"/>
      <c r="C57" s="21"/>
      <c r="D57" s="21"/>
      <c r="E57" s="21"/>
      <c r="F57" s="21"/>
      <c r="G57" s="24"/>
    </row>
    <row r="58" spans="1:7" ht="15" customHeight="1" x14ac:dyDescent="0.25">
      <c r="A58" s="21"/>
      <c r="B58" s="21"/>
      <c r="C58" s="21"/>
      <c r="D58" s="21"/>
      <c r="E58" s="21"/>
      <c r="F58" s="21"/>
      <c r="G58" s="24"/>
    </row>
    <row r="59" spans="1:7" ht="15" customHeight="1" x14ac:dyDescent="0.25">
      <c r="A59" s="21"/>
      <c r="B59" s="21"/>
      <c r="C59" s="21"/>
      <c r="D59" s="21"/>
      <c r="E59" s="21"/>
      <c r="F59" s="21"/>
      <c r="G59" s="24"/>
    </row>
  </sheetData>
  <autoFilter ref="A5:F41" xr:uid="{00000000-0009-0000-0000-000003000000}"/>
  <mergeCells count="2">
    <mergeCell ref="A1:D1"/>
    <mergeCell ref="A2:F3"/>
  </mergeCells>
  <conditionalFormatting sqref="D6:D59">
    <cfRule type="cellIs" dxfId="3" priority="2" operator="equal">
      <formula>"Eşleşiyor"</formula>
    </cfRule>
    <cfRule type="cellIs" dxfId="2" priority="3" operator="equal">
      <formula>"BULUNAMADI"</formula>
    </cfRule>
    <cfRule type="cellIs" dxfId="1" priority="4" operator="equal">
      <formula>"ÇELİŞKİLİ"</formula>
    </cfRule>
    <cfRule type="cellIs" dxfId="0" priority="5" operator="equal">
      <formula>"KULLANILMIYOR"</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heetViews>
  <sheetFormatPr defaultColWidth="8.7109375" defaultRowHeight="15" x14ac:dyDescent="0.25"/>
  <cols>
    <col min="1" max="3" width="20" customWidth="1"/>
    <col min="4" max="4" width="13" customWidth="1"/>
  </cols>
  <sheetData>
    <row r="1" spans="1:5" ht="15" customHeight="1" x14ac:dyDescent="0.25">
      <c r="A1" s="25" t="s">
        <v>37</v>
      </c>
      <c r="B1" s="25" t="s">
        <v>45</v>
      </c>
      <c r="C1" s="25" t="s">
        <v>46</v>
      </c>
      <c r="D1" s="25" t="inlineStr">
        <is>
          <t xml:space="preserve">Test Kapsamı</t>
        </is>
      </c>
      <c r="E1" s="26" t="inlineStr">
        <is>
          <t xml:space="preserve">Sonuç ve kapsam seçenekleri. Ortam, testin gerçekten çalıştırıldığı yer olmalıdır.</t>
        </is>
      </c>
    </row>
    <row r="2" spans="1:5" ht="15" customHeight="1" x14ac:dyDescent="0.25">
      <c r="A2" s="24" t="s">
        <v>490</v>
      </c>
      <c r="B2" s="24" t="inlineStr">
        <is>
          <t xml:space="preserve">Test</t>
        </is>
      </c>
      <c r="C2" s="24" t="s">
        <v>57</v>
      </c>
      <c r="D2" s="24" t="inlineStr">
        <is>
          <t xml:space="preserve">Ana sanity</t>
        </is>
      </c>
    </row>
    <row r="3" spans="1:5" ht="15" customHeight="1" x14ac:dyDescent="0.25">
      <c r="A3" s="24" t="s">
        <v>825</v>
      </c>
      <c r="B3" s="24" t="inlineStr">
        <is>
          <t xml:space="preserve">Preprod</t>
        </is>
      </c>
      <c r="C3" s="24" t="s">
        <v>88</v>
      </c>
      <c r="D3" s="24" t="inlineStr">
        <is>
          <t xml:space="preserve">Genişletilmiş</t>
        </is>
      </c>
    </row>
    <row r="4" spans="1:5" ht="15" customHeight="1" x14ac:dyDescent="0.25">
      <c r="A4" s="24" t="s">
        <v>12</v>
      </c>
      <c r="B4" s="24" t="inlineStr">
        <is>
          <t xml:space="preserve">Prod</t>
        </is>
      </c>
      <c r="C4" s="24" t="s">
        <v>388</v>
      </c>
      <c r="D4" s="24" t="inlineStr">
        <is>
          <t xml:space="preserve">Ön koşul</t>
        </is>
      </c>
    </row>
    <row r="5" spans="1:5" ht="15" customHeight="1" x14ac:dyDescent="0.25">
      <c r="A5" s="24" t="s">
        <v>16</v>
      </c>
      <c r="B5" s="24" t="inlineStr">
        <is>
          <t xml:space="preserve">Customer/Prod</t>
        </is>
      </c>
      <c r="D5" s="24"/>
    </row>
    <row r="6" spans="1:5" ht="15" customHeight="1" x14ac:dyDescent="0.25">
      <c r="A6" s="24" t="s">
        <v>827</v>
      </c>
      <c r="B6" s="0" t="inlineStr">
        <is>
          <t xml:space="preserve">Customer</t>
        </is>
      </c>
    </row>
    <row r="7">
      <c r="A7" s="24" t="inlineStr">
        <is>
          <t xml:space="preserve">Kısmen</t>
        </is>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Genel</vt:lpstr>
      <vt:lpstr>Arbitraj Senaryoları</vt:lpstr>
      <vt:lpstr>Parametre Eşleştirme</vt:lpstr>
      <vt:lpstr>Listeler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Seyfullah Akgün</cp:lastModifiedBy>
  <cp:revision>0</cp:revision>
  <dcterms:created xsi:type="dcterms:W3CDTF">2026-09-15T14:25:49Z</dcterms:created>
  <dcterms:modified xsi:type="dcterms:W3CDTF">2026-09-22T08:40:07Z</dcterms:modified>
  <dc:language>en-US</dc:language>
</cp:coreProperties>
</file>